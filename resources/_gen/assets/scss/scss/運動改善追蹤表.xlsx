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每日訓練紀錄" sheetId="1" state="visible" r:id="rId3"/>
    <sheet name="分析輔助" sheetId="2" state="visible" r:id="rId4"/>
    <sheet name="使用說明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<sst xmlns="http://schemas.openxmlformats.org/spreadsheetml/2006/main" count="70" uniqueCount="65">
  <si>
    <t xml:space="preserve">日期</t>
  </si>
  <si>
    <t xml:space="preserve">星期</t>
  </si>
  <si>
    <t xml:space="preserve">訓練類型</t>
  </si>
  <si>
    <r>
      <rPr>
        <b val="true"/>
        <sz val="11"/>
        <color rgb="FFFFFFFF"/>
        <rFont val="Noto Sans CJK SC"/>
        <family val="2"/>
      </rPr>
      <t xml:space="preserve">訓練時長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分鐘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</si>
  <si>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RPE</t>
    </r>
    <r>
      <rPr>
        <b val="true"/>
        <sz val="11"/>
        <color rgb="FFFFFFFF"/>
        <rFont val="Noto Sans CJK SC"/>
        <family val="2"/>
      </rPr>
      <t xml:space="preserve">自覺費力程度</t>
    </r>
    <r>
      <rPr>
        <b val="true"/>
        <sz val="11"/>
        <color rgb="FFFFFFFF"/>
        <rFont val="Arial"/>
        <family val="0"/>
        <charset val="1"/>
      </rPr>
      <t xml:space="preserve">(0-10)</t>
    </r>
  </si>
  <si>
    <r>
      <rPr>
        <b val="true"/>
        <sz val="11"/>
        <color rgb="FFFFFFFF"/>
        <rFont val="Noto Sans CJK SC"/>
        <family val="2"/>
      </rPr>
      <t xml:space="preserve">睡眠時數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前一晚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</si>
  <si>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睡眠品質自評</t>
    </r>
    <r>
      <rPr>
        <b val="true"/>
        <sz val="11"/>
        <color rgb="FFFFFFFF"/>
        <rFont val="Arial"/>
        <family val="0"/>
        <charset val="1"/>
      </rPr>
      <t xml:space="preserve">(1-5)</t>
    </r>
  </si>
  <si>
    <r>
      <rPr>
        <b val="true"/>
        <sz val="11"/>
        <color rgb="FFFFFFFF"/>
        <rFont val="Noto Sans CJK SC"/>
        <family val="2"/>
      </rPr>
      <t xml:space="preserve">壓力指數</t>
    </r>
    <r>
      <rPr>
        <b val="true"/>
        <sz val="11"/>
        <color rgb="FFFFFFFF"/>
        <rFont val="Arial"/>
        <family val="0"/>
        <charset val="1"/>
      </rPr>
      <t xml:space="preserve">(1-5)</t>
    </r>
  </si>
  <si>
    <r>
      <rPr>
        <b val="true"/>
        <sz val="11"/>
        <color rgb="FFFFFFFF"/>
        <rFont val="Noto Sans CJK SC"/>
        <family val="2"/>
      </rPr>
      <t xml:space="preserve">疲勞感</t>
    </r>
    <r>
      <rPr>
        <b val="true"/>
        <sz val="11"/>
        <color rgb="FFFFFFFF"/>
        <rFont val="Arial"/>
        <family val="0"/>
        <charset val="1"/>
      </rPr>
      <t xml:space="preserve">(1-5)</t>
    </r>
  </si>
  <si>
    <r>
      <rPr>
        <b val="true"/>
        <sz val="11"/>
        <color rgb="FFFFFFFF"/>
        <rFont val="Noto Sans CJK SC"/>
        <family val="2"/>
      </rPr>
      <t xml:space="preserve">自覺恢復程度</t>
    </r>
    <r>
      <rPr>
        <b val="true"/>
        <sz val="11"/>
        <color rgb="FFFFFFFF"/>
        <rFont val="Arial"/>
        <family val="0"/>
        <charset val="1"/>
      </rPr>
      <t xml:space="preserve">(1-5)</t>
    </r>
  </si>
  <si>
    <r>
      <rPr>
        <b val="true"/>
        <sz val="11"/>
        <color rgb="FFFFFFFF"/>
        <rFont val="Noto Sans CJK SC"/>
        <family val="2"/>
      </rPr>
      <t xml:space="preserve">達成當日目標</t>
    </r>
    <r>
      <rPr>
        <b val="true"/>
        <sz val="11"/>
        <color rgb="FFFFFFFF"/>
        <rFont val="Arial"/>
        <family val="0"/>
        <charset val="1"/>
      </rPr>
      <t xml:space="preserve">(Y/N)</t>
    </r>
  </si>
  <si>
    <t xml:space="preserve">未達成原因</t>
  </si>
  <si>
    <t xml:space="preserve">心得備註</t>
  </si>
  <si>
    <t xml:space="preserve">重量訓練</t>
  </si>
  <si>
    <t xml:space="preserve">Y</t>
  </si>
  <si>
    <t xml:space="preserve">不適用</t>
  </si>
  <si>
    <t xml:space="preserve">睡不太夠但練起來還可以，晚上開會壓力大</t>
  </si>
  <si>
    <r>
      <rPr>
        <i val="true"/>
        <sz val="10"/>
        <color rgb="FF808080"/>
        <rFont val="Noto Sans CJK SC"/>
        <family val="2"/>
      </rPr>
      <t xml:space="preserve">↑ 第</t>
    </r>
    <r>
      <rPr>
        <i val="true"/>
        <sz val="10"/>
        <color rgb="FF808080"/>
        <rFont val="Arial"/>
        <family val="0"/>
        <charset val="1"/>
      </rPr>
      <t xml:space="preserve">2</t>
    </r>
    <r>
      <rPr>
        <i val="true"/>
        <sz val="10"/>
        <color rgb="FF808080"/>
        <rFont val="Noto Sans CJK SC"/>
        <family val="2"/>
      </rPr>
      <t xml:space="preserve">列為範例，請直接覆寫成你自己的資料；藍色底的儲存格是你每天要填的欄位。</t>
    </r>
  </si>
  <si>
    <t xml:space="preserve">平均值總覽</t>
  </si>
  <si>
    <r>
      <rPr>
        <b val="true"/>
        <sz val="11"/>
        <rFont val="Noto Sans CJK SC"/>
        <family val="2"/>
      </rPr>
      <t xml:space="preserve">平均 </t>
    </r>
    <r>
      <rPr>
        <b val="true"/>
        <sz val="11"/>
        <rFont val="Arial"/>
        <family val="0"/>
        <charset val="1"/>
      </rPr>
      <t xml:space="preserve">RPE </t>
    </r>
    <r>
      <rPr>
        <b val="true"/>
        <sz val="11"/>
        <rFont val="Noto Sans CJK SC"/>
        <family val="2"/>
      </rPr>
      <t xml:space="preserve">費力程度</t>
    </r>
  </si>
  <si>
    <t xml:space="preserve">平均睡眠時數</t>
  </si>
  <si>
    <t xml:space="preserve">平均睡眠品質</t>
  </si>
  <si>
    <t xml:space="preserve">平均壓力指數</t>
  </si>
  <si>
    <t xml:space="preserve">平均疲勞感</t>
  </si>
  <si>
    <t xml:space="preserve">平均自覺恢復程度</t>
  </si>
  <si>
    <t xml:space="preserve">目標達成率</t>
  </si>
  <si>
    <r>
      <rPr>
        <b val="true"/>
        <sz val="13"/>
        <color rgb="FF1F4E5C"/>
        <rFont val="Noto Sans CJK SC"/>
        <family val="2"/>
      </rPr>
      <t xml:space="preserve">交互影響：相關係數 </t>
    </r>
    <r>
      <rPr>
        <b val="true"/>
        <sz val="13"/>
        <color rgb="FF1F4E5C"/>
        <rFont val="Arial"/>
        <family val="0"/>
        <charset val="1"/>
      </rPr>
      <t xml:space="preserve">(CORREL</t>
    </r>
    <r>
      <rPr>
        <b val="true"/>
        <sz val="13"/>
        <color rgb="FF1F4E5C"/>
        <rFont val="Noto Sans CJK SC"/>
        <family val="2"/>
      </rPr>
      <t xml:space="preserve">，介於 </t>
    </r>
    <r>
      <rPr>
        <b val="true"/>
        <sz val="13"/>
        <color rgb="FF1F4E5C"/>
        <rFont val="Arial"/>
        <family val="0"/>
        <charset val="1"/>
      </rPr>
      <t xml:space="preserve">-1 ~ 1)</t>
    </r>
  </si>
  <si>
    <t xml:space="preserve">比較項目</t>
  </si>
  <si>
    <t xml:space="preserve">相關係數</t>
  </si>
  <si>
    <t xml:space="preserve">怎麼看</t>
  </si>
  <si>
    <r>
      <rPr>
        <sz val="11"/>
        <rFont val="Arial"/>
        <family val="0"/>
        <charset val="1"/>
      </rPr>
      <t xml:space="preserve">RPE</t>
    </r>
    <r>
      <rPr>
        <sz val="11"/>
        <rFont val="Noto Sans CJK SC"/>
        <family val="2"/>
      </rPr>
      <t xml:space="preserve">費力程度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睡眠時數</t>
    </r>
  </si>
  <si>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係數</t>
    </r>
    <r>
      <rPr>
        <sz val="11"/>
        <rFont val="Arial"/>
        <family val="0"/>
        <charset val="1"/>
      </rPr>
      <t xml:space="preserve">|&gt;0.5 </t>
    </r>
    <r>
      <rPr>
        <sz val="11"/>
        <rFont val="Noto Sans CJK SC"/>
        <family val="2"/>
      </rPr>
      <t xml:space="preserve">通常算有明顯關聯，可作為魚骨圖／</t>
    </r>
    <r>
      <rPr>
        <sz val="11"/>
        <rFont val="Arial"/>
        <family val="0"/>
        <charset val="1"/>
      </rPr>
      <t xml:space="preserve">5Why</t>
    </r>
    <r>
      <rPr>
        <sz val="11"/>
        <rFont val="Noto Sans CJK SC"/>
        <family val="2"/>
      </rPr>
      <t xml:space="preserve">的線索</t>
    </r>
  </si>
  <si>
    <r>
      <rPr>
        <sz val="11"/>
        <rFont val="Arial"/>
        <family val="0"/>
        <charset val="1"/>
      </rPr>
      <t xml:space="preserve">RPE</t>
    </r>
    <r>
      <rPr>
        <sz val="11"/>
        <rFont val="Noto Sans CJK SC"/>
        <family val="2"/>
      </rPr>
      <t xml:space="preserve">費力程度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壓力指數</t>
    </r>
  </si>
  <si>
    <r>
      <rPr>
        <sz val="11"/>
        <rFont val="Noto Sans CJK SC"/>
        <family val="2"/>
      </rPr>
      <t xml:space="preserve">自覺恢復程度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睡眠時數</t>
    </r>
  </si>
  <si>
    <r>
      <rPr>
        <sz val="11"/>
        <rFont val="Noto Sans CJK SC"/>
        <family val="2"/>
      </rPr>
      <t xml:space="preserve">自覺恢復程度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壓力指數</t>
    </r>
  </si>
  <si>
    <r>
      <rPr>
        <sz val="11"/>
        <rFont val="Noto Sans CJK SC"/>
        <family val="2"/>
      </rPr>
      <t xml:space="preserve">疲勞感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睡眠時數</t>
    </r>
  </si>
  <si>
    <r>
      <rPr>
        <sz val="11"/>
        <rFont val="Noto Sans CJK SC"/>
        <family val="2"/>
      </rPr>
      <t xml:space="preserve">疲勞感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壓力指數</t>
    </r>
  </si>
  <si>
    <r>
      <rPr>
        <b val="true"/>
        <sz val="13"/>
        <color rgb="FF1F4E5C"/>
        <rFont val="Noto Sans CJK SC"/>
        <family val="2"/>
      </rPr>
      <t xml:space="preserve">未達成目標原因統計 </t>
    </r>
    <r>
      <rPr>
        <b val="true"/>
        <sz val="13"/>
        <color rgb="FF1F4E5C"/>
        <rFont val="Arial"/>
        <family val="0"/>
        <charset val="1"/>
      </rPr>
      <t xml:space="preserve">(</t>
    </r>
    <r>
      <rPr>
        <b val="true"/>
        <sz val="13"/>
        <color rgb="FF1F4E5C"/>
        <rFont val="Noto Sans CJK SC"/>
        <family val="2"/>
      </rPr>
      <t xml:space="preserve">柏拉圖用，資料累積後請自行依數字排序</t>
    </r>
    <r>
      <rPr>
        <b val="true"/>
        <sz val="13"/>
        <color rgb="FF1F4E5C"/>
        <rFont val="Arial"/>
        <family val="0"/>
        <charset val="1"/>
      </rPr>
      <t xml:space="preserve">)</t>
    </r>
  </si>
  <si>
    <t xml:space="preserve">原因</t>
  </si>
  <si>
    <t xml:space="preserve">次數</t>
  </si>
  <si>
    <t xml:space="preserve">時間不夠</t>
  </si>
  <si>
    <t xml:space="preserve">太累</t>
  </si>
  <si>
    <t xml:space="preserve">工作忙</t>
  </si>
  <si>
    <t xml:space="preserve">沒動力</t>
  </si>
  <si>
    <t xml:space="preserve">身體不適</t>
  </si>
  <si>
    <t xml:space="preserve">其他</t>
  </si>
  <si>
    <t xml:space="preserve">運動改善主題 —— 每日訓練追蹤表使用說明</t>
  </si>
  <si>
    <r>
      <rPr>
        <sz val="11"/>
        <color rgb="FF404040"/>
        <rFont val="Noto Sans CJK SC"/>
        <family val="2"/>
      </rPr>
      <t xml:space="preserve">這份表格對應 </t>
    </r>
    <r>
      <rPr>
        <sz val="11"/>
        <color rgb="FF404040"/>
        <rFont val="Arial"/>
        <family val="0"/>
        <charset val="1"/>
      </rPr>
      <t xml:space="preserve">TQM </t>
    </r>
    <r>
      <rPr>
        <sz val="11"/>
        <color rgb="FF404040"/>
        <rFont val="Noto Sans CJK SC"/>
        <family val="2"/>
      </rPr>
      <t xml:space="preserve">課程「個人改善主題 </t>
    </r>
    <r>
      <rPr>
        <sz val="11"/>
        <color rgb="FF404040"/>
        <rFont val="Arial"/>
        <family val="0"/>
        <charset val="1"/>
      </rPr>
      <t xml:space="preserve">H1–H4</t>
    </r>
    <r>
      <rPr>
        <sz val="11"/>
        <color rgb="FF404040"/>
        <rFont val="Noto Sans CJK SC"/>
        <family val="2"/>
      </rPr>
      <t xml:space="preserve">」作業，用來持續蒐集你自己運動狀況的資料。</t>
    </r>
  </si>
  <si>
    <t xml:space="preserve">【使用方式】</t>
  </si>
  <si>
    <r>
      <rPr>
        <sz val="11"/>
        <color rgb="FF404040"/>
        <rFont val="Arial"/>
        <family val="0"/>
        <charset val="1"/>
      </rPr>
      <t xml:space="preserve">1. </t>
    </r>
    <r>
      <rPr>
        <sz val="11"/>
        <color rgb="FF404040"/>
        <rFont val="Noto Sans CJK SC"/>
        <family val="2"/>
      </rPr>
      <t xml:space="preserve">到「每日訓練紀錄」分頁，第</t>
    </r>
    <r>
      <rPr>
        <sz val="11"/>
        <color rgb="FF404040"/>
        <rFont val="Arial"/>
        <family val="0"/>
        <charset val="1"/>
      </rPr>
      <t xml:space="preserve">2</t>
    </r>
    <r>
      <rPr>
        <sz val="11"/>
        <color rgb="FF404040"/>
        <rFont val="Noto Sans CJK SC"/>
        <family val="2"/>
      </rPr>
      <t xml:space="preserve">列是範例，請直接覆寫成你自己當天的數字（不要刪除整列，以免後面的公式跑掉）。</t>
    </r>
  </si>
  <si>
    <r>
      <rPr>
        <sz val="11"/>
        <color rgb="FF404040"/>
        <rFont val="Arial"/>
        <family val="0"/>
        <charset val="1"/>
      </rPr>
      <t xml:space="preserve">2. </t>
    </r>
    <r>
      <rPr>
        <sz val="11"/>
        <color rgb="FF404040"/>
        <rFont val="Noto Sans CJK SC"/>
        <family val="2"/>
      </rPr>
      <t xml:space="preserve">從第</t>
    </r>
    <r>
      <rPr>
        <sz val="11"/>
        <color rgb="FF404040"/>
        <rFont val="Arial"/>
        <family val="0"/>
        <charset val="1"/>
      </rPr>
      <t xml:space="preserve">3</t>
    </r>
    <r>
      <rPr>
        <sz val="11"/>
        <color rgb="FF404040"/>
        <rFont val="Noto Sans CJK SC"/>
        <family val="2"/>
      </rPr>
      <t xml:space="preserve">列開始，每天訓練完（或休息日）花</t>
    </r>
    <r>
      <rPr>
        <sz val="11"/>
        <color rgb="FF404040"/>
        <rFont val="Arial"/>
        <family val="0"/>
        <charset val="1"/>
      </rPr>
      <t xml:space="preserve">30</t>
    </r>
    <r>
      <rPr>
        <sz val="11"/>
        <color rgb="FF404040"/>
        <rFont val="Noto Sans CJK SC"/>
        <family val="2"/>
      </rPr>
      <t xml:space="preserve">秒填一列。日期、</t>
    </r>
    <r>
      <rPr>
        <sz val="11"/>
        <color rgb="FF404040"/>
        <rFont val="Arial"/>
        <family val="0"/>
        <charset val="1"/>
      </rPr>
      <t xml:space="preserve">RPE</t>
    </r>
    <r>
      <rPr>
        <sz val="11"/>
        <color rgb="FF404040"/>
        <rFont val="Noto Sans CJK SC"/>
        <family val="2"/>
      </rPr>
      <t xml:space="preserve">、睡眠、壓力、疲勞感、恢復程度都用下拉選單或數字，心得備註可以自由寫。</t>
    </r>
  </si>
  <si>
    <r>
      <rPr>
        <sz val="11"/>
        <color rgb="FF404040"/>
        <rFont val="Arial"/>
        <family val="0"/>
        <charset val="1"/>
      </rPr>
      <t xml:space="preserve">3. </t>
    </r>
    <r>
      <rPr>
        <sz val="11"/>
        <color rgb="FF404040"/>
        <rFont val="Noto Sans CJK SC"/>
        <family val="2"/>
      </rPr>
      <t xml:space="preserve">建議每天固定同一時間填（例如睡前），至少連續填 </t>
    </r>
    <r>
      <rPr>
        <sz val="11"/>
        <color rgb="FF404040"/>
        <rFont val="Arial"/>
        <family val="0"/>
        <charset val="1"/>
      </rPr>
      <t xml:space="preserve">15–25 </t>
    </r>
    <r>
      <rPr>
        <sz val="11"/>
        <color rgb="FF404040"/>
        <rFont val="Noto Sans CJK SC"/>
        <family val="2"/>
      </rPr>
      <t xml:space="preserve">天，</t>
    </r>
    <r>
      <rPr>
        <sz val="11"/>
        <color rgb="FF404040"/>
        <rFont val="Arial"/>
        <family val="0"/>
        <charset val="1"/>
      </rPr>
      <t xml:space="preserve">H2 </t>
    </r>
    <r>
      <rPr>
        <sz val="11"/>
        <color rgb="FF404040"/>
        <rFont val="Noto Sans CJK SC"/>
        <family val="2"/>
      </rPr>
      <t xml:space="preserve">才有足夠資料畫 </t>
    </r>
    <r>
      <rPr>
        <sz val="11"/>
        <color rgb="FF404040"/>
        <rFont val="Arial"/>
        <family val="0"/>
        <charset val="1"/>
      </rPr>
      <t xml:space="preserve">Run Chart</t>
    </r>
    <r>
      <rPr>
        <sz val="11"/>
        <color rgb="FF404040"/>
        <rFont val="Noto Sans CJK SC"/>
        <family val="2"/>
      </rPr>
      <t xml:space="preserve">。</t>
    </r>
  </si>
  <si>
    <r>
      <rPr>
        <sz val="11"/>
        <color rgb="FF404040"/>
        <rFont val="Arial"/>
        <family val="0"/>
        <charset val="1"/>
      </rPr>
      <t xml:space="preserve">4. </t>
    </r>
    <r>
      <rPr>
        <sz val="11"/>
        <color rgb="FF404040"/>
        <rFont val="Noto Sans CJK SC"/>
        <family val="2"/>
      </rPr>
      <t xml:space="preserve">「分析輔助」分頁會自動算平均值、相關係數，以及未達成目標原因的次數統計，資料越多越準。</t>
    </r>
  </si>
  <si>
    <r>
      <rPr>
        <b val="true"/>
        <sz val="12"/>
        <color rgb="FF000000"/>
        <rFont val="Noto Sans CJK SC"/>
        <family val="2"/>
      </rPr>
      <t xml:space="preserve">【欄位對照 </t>
    </r>
    <r>
      <rPr>
        <b val="true"/>
        <sz val="12"/>
        <color rgb="FF000000"/>
        <rFont val="Arial"/>
        <family val="0"/>
        <charset val="1"/>
      </rPr>
      <t xml:space="preserve">H1–H4</t>
    </r>
    <r>
      <rPr>
        <b val="true"/>
        <sz val="12"/>
        <color rgb="FF000000"/>
        <rFont val="Noto Sans CJK SC"/>
        <family val="2"/>
      </rPr>
      <t xml:space="preserve">】</t>
    </r>
  </si>
  <si>
    <r>
      <rPr>
        <sz val="11"/>
        <color rgb="FF404040"/>
        <rFont val="Arial"/>
        <family val="0"/>
        <charset val="1"/>
      </rPr>
      <t xml:space="preserve">H1 </t>
    </r>
    <r>
      <rPr>
        <sz val="11"/>
        <color rgb="FF404040"/>
        <rFont val="Noto Sans CJK SC"/>
        <family val="2"/>
      </rPr>
      <t xml:space="preserve">問題陳述與品質成本：可以用「達成當日目標</t>
    </r>
    <r>
      <rPr>
        <sz val="11"/>
        <color rgb="FF404040"/>
        <rFont val="Arial"/>
        <family val="0"/>
        <charset val="1"/>
      </rPr>
      <t xml:space="preserve">(Y/N)</t>
    </r>
    <r>
      <rPr>
        <sz val="11"/>
        <color rgb="FF404040"/>
        <rFont val="Noto Sans CJK SC"/>
        <family val="2"/>
      </rPr>
      <t xml:space="preserve">」欄位估計内部</t>
    </r>
    <r>
      <rPr>
        <sz val="11"/>
        <color rgb="FF404040"/>
        <rFont val="Arial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外部失敗成本（例如沒練到、影響體能或心情）。</t>
    </r>
  </si>
  <si>
    <r>
      <rPr>
        <sz val="11"/>
        <color rgb="FF404040"/>
        <rFont val="Arial"/>
        <family val="0"/>
        <charset val="1"/>
      </rPr>
      <t xml:space="preserve">H2 Run Chart</t>
    </r>
    <r>
      <rPr>
        <sz val="11"/>
        <color rgb="FF404040"/>
        <rFont val="Noto Sans CJK SC"/>
        <family val="2"/>
      </rPr>
      <t xml:space="preserve">：建議主指標用「</t>
    </r>
    <r>
      <rPr>
        <sz val="11"/>
        <color rgb="FF404040"/>
        <rFont val="Arial"/>
        <family val="0"/>
        <charset val="1"/>
      </rPr>
      <t xml:space="preserve">RPE</t>
    </r>
    <r>
      <rPr>
        <sz val="11"/>
        <color rgb="FF404040"/>
        <rFont val="Noto Sans CJK SC"/>
        <family val="2"/>
      </rPr>
      <t xml:space="preserve">自覺費力程度」或「自覺恢復程度」其中一項，畫出</t>
    </r>
    <r>
      <rPr>
        <sz val="11"/>
        <color rgb="FF404040"/>
        <rFont val="Arial"/>
        <family val="0"/>
        <charset val="1"/>
      </rPr>
      <t xml:space="preserve">15-25</t>
    </r>
    <r>
      <rPr>
        <sz val="11"/>
        <color rgb="FF404040"/>
        <rFont val="Noto Sans CJK SC"/>
        <family val="2"/>
      </rPr>
      <t xml:space="preserve">天的趨勢。</t>
    </r>
  </si>
  <si>
    <r>
      <rPr>
        <sz val="11"/>
        <color rgb="FF404040"/>
        <rFont val="Arial"/>
        <family val="0"/>
        <charset val="1"/>
      </rPr>
      <t xml:space="preserve">H3 </t>
    </r>
    <r>
      <rPr>
        <sz val="11"/>
        <color rgb="FF404040"/>
        <rFont val="Noto Sans CJK SC"/>
        <family val="2"/>
      </rPr>
      <t xml:space="preserve">原因分析：「未達成原因」欄位可以直接變成柏拉圖的分類；「分析輔助」的相關係數可以當</t>
    </r>
    <r>
      <rPr>
        <sz val="11"/>
        <color rgb="FF404040"/>
        <rFont val="Arial"/>
        <family val="0"/>
        <charset val="1"/>
      </rPr>
      <t xml:space="preserve">5Why</t>
    </r>
    <r>
      <rPr>
        <sz val="11"/>
        <color rgb="FF404040"/>
        <rFont val="Noto Sans CJK SC"/>
        <family val="2"/>
      </rPr>
      <t xml:space="preserve">或魚骨圖的線索（例如：睡眠不足是不是真的會讓</t>
    </r>
    <r>
      <rPr>
        <sz val="11"/>
        <color rgb="FF404040"/>
        <rFont val="Arial"/>
        <family val="0"/>
        <charset val="1"/>
      </rPr>
      <t xml:space="preserve">RPE</t>
    </r>
    <r>
      <rPr>
        <sz val="11"/>
        <color rgb="FF404040"/>
        <rFont val="Noto Sans CJK SC"/>
        <family val="2"/>
      </rPr>
      <t xml:space="preserve">變高）。</t>
    </r>
  </si>
  <si>
    <r>
      <rPr>
        <sz val="11"/>
        <color rgb="FF404040"/>
        <rFont val="Arial"/>
        <family val="0"/>
        <charset val="1"/>
      </rPr>
      <t xml:space="preserve">H4 </t>
    </r>
    <r>
      <rPr>
        <sz val="11"/>
        <color rgb="FF404040"/>
        <rFont val="Noto Sans CJK SC"/>
        <family val="2"/>
      </rPr>
      <t xml:space="preserve">一頁改善報告：可以直接引用平均值、相關係數、柏拉圖結果，並說明 </t>
    </r>
    <r>
      <rPr>
        <sz val="11"/>
        <color rgb="FF404040"/>
        <rFont val="Arial"/>
        <family val="0"/>
        <charset val="1"/>
      </rPr>
      <t xml:space="preserve">DMAIC </t>
    </r>
    <r>
      <rPr>
        <sz val="11"/>
        <color rgb="FF404040"/>
        <rFont val="Noto Sans CJK SC"/>
        <family val="2"/>
      </rPr>
      <t xml:space="preserve">的 </t>
    </r>
    <r>
      <rPr>
        <sz val="11"/>
        <color rgb="FF404040"/>
        <rFont val="Arial"/>
        <family val="0"/>
        <charset val="1"/>
      </rPr>
      <t xml:space="preserve">Measure</t>
    </r>
    <r>
      <rPr>
        <sz val="11"/>
        <color rgb="FF404040"/>
        <rFont val="Noto Sans CJK SC"/>
        <family val="2"/>
      </rPr>
      <t xml:space="preserve">（這張表本身）跟 </t>
    </r>
    <r>
      <rPr>
        <sz val="11"/>
        <color rgb="FF404040"/>
        <rFont val="Arial"/>
        <family val="0"/>
        <charset val="1"/>
      </rPr>
      <t xml:space="preserve">Control</t>
    </r>
    <r>
      <rPr>
        <sz val="11"/>
        <color rgb="FF404040"/>
        <rFont val="Noto Sans CJK SC"/>
        <family val="2"/>
      </rPr>
      <t xml:space="preserve">（例如設定壓力或睡眠低於某個門檻就調整當天訓練強度）怎麼設計。</t>
    </r>
  </si>
  <si>
    <r>
      <rPr>
        <b val="true"/>
        <sz val="12"/>
        <color rgb="FF000000"/>
        <rFont val="Noto Sans CJK SC"/>
        <family val="2"/>
      </rPr>
      <t xml:space="preserve">【</t>
    </r>
    <r>
      <rPr>
        <b val="true"/>
        <sz val="12"/>
        <color rgb="FF000000"/>
        <rFont val="Arial"/>
        <family val="0"/>
        <charset val="1"/>
      </rPr>
      <t xml:space="preserve">RPE </t>
    </r>
    <r>
      <rPr>
        <b val="true"/>
        <sz val="12"/>
        <color rgb="FF000000"/>
        <rFont val="Noto Sans CJK SC"/>
        <family val="2"/>
      </rPr>
      <t xml:space="preserve">自覺費力量表 </t>
    </r>
    <r>
      <rPr>
        <b val="true"/>
        <sz val="12"/>
        <color rgb="FF000000"/>
        <rFont val="Arial"/>
        <family val="0"/>
        <charset val="1"/>
      </rPr>
      <t xml:space="preserve">(0–10 </t>
    </r>
    <r>
      <rPr>
        <b val="true"/>
        <sz val="12"/>
        <color rgb="FF000000"/>
        <rFont val="Noto Sans CJK SC"/>
        <family val="2"/>
      </rPr>
      <t xml:space="preserve">簡化版，訓練現場常用</t>
    </r>
    <r>
      <rPr>
        <b val="true"/>
        <sz val="12"/>
        <color rgb="FF000000"/>
        <rFont val="Arial"/>
        <family val="0"/>
        <charset val="1"/>
      </rPr>
      <t xml:space="preserve">)</t>
    </r>
    <r>
      <rPr>
        <b val="true"/>
        <sz val="12"/>
        <color rgb="FF000000"/>
        <rFont val="Noto Sans CJK SC"/>
        <family val="2"/>
      </rPr>
      <t xml:space="preserve">】</t>
    </r>
  </si>
  <si>
    <r>
      <rPr>
        <sz val="11"/>
        <color rgb="FF404040"/>
        <rFont val="Arial"/>
        <family val="0"/>
        <charset val="1"/>
      </rPr>
      <t xml:space="preserve">0–3</t>
    </r>
    <r>
      <rPr>
        <sz val="11"/>
        <color rgb="FF404040"/>
        <rFont val="Noto Sans CJK SC"/>
        <family val="2"/>
      </rPr>
      <t xml:space="preserve">：輕鬆，呼吸稍微增加，適合暖身或恢復日</t>
    </r>
  </si>
  <si>
    <r>
      <rPr>
        <sz val="11"/>
        <color rgb="FF404040"/>
        <rFont val="Arial"/>
        <family val="0"/>
        <charset val="1"/>
      </rPr>
      <t xml:space="preserve">4–6</t>
    </r>
    <r>
      <rPr>
        <sz val="11"/>
        <color rgb="FF404040"/>
        <rFont val="Noto Sans CJK SC"/>
        <family val="2"/>
      </rPr>
      <t xml:space="preserve">：中等，開始有點喘但可以穩定持續，適合一般有氧</t>
    </r>
  </si>
  <si>
    <r>
      <rPr>
        <sz val="11"/>
        <color rgb="FF404040"/>
        <rFont val="Arial"/>
        <family val="0"/>
        <charset val="1"/>
      </rPr>
      <t xml:space="preserve">7–8</t>
    </r>
    <r>
      <rPr>
        <sz val="11"/>
        <color rgb="FF404040"/>
        <rFont val="Noto Sans CJK SC"/>
        <family val="2"/>
      </rPr>
      <t xml:space="preserve">：吃力，動作仍可維持穩定，重量訓練常用，約保留</t>
    </r>
    <r>
      <rPr>
        <sz val="11"/>
        <color rgb="FF404040"/>
        <rFont val="Arial"/>
        <family val="0"/>
        <charset val="1"/>
      </rPr>
      <t xml:space="preserve">1-2</t>
    </r>
    <r>
      <rPr>
        <sz val="11"/>
        <color rgb="FF404040"/>
        <rFont val="Noto Sans CJK SC"/>
        <family val="2"/>
      </rPr>
      <t xml:space="preserve">下的力氣</t>
    </r>
  </si>
  <si>
    <r>
      <rPr>
        <sz val="11"/>
        <color rgb="FF404040"/>
        <rFont val="Arial"/>
        <family val="0"/>
        <charset val="1"/>
      </rPr>
      <t xml:space="preserve">9–10</t>
    </r>
    <r>
      <rPr>
        <sz val="11"/>
        <color rgb="FF404040"/>
        <rFont val="Noto Sans CJK SC"/>
        <family val="2"/>
      </rPr>
      <t xml:space="preserve">：非常吃力到極限，幾乎無法再多做</t>
    </r>
  </si>
  <si>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資料來源：一般運動生理學</t>
    </r>
    <r>
      <rPr>
        <sz val="10"/>
        <color rgb="FF404040"/>
        <rFont val="Arial"/>
        <family val="0"/>
        <charset val="1"/>
      </rPr>
      <t xml:space="preserve">/</t>
    </r>
    <r>
      <rPr>
        <sz val="10"/>
        <color rgb="FF404040"/>
        <rFont val="Noto Sans CJK SC"/>
        <family val="2"/>
      </rPr>
      <t xml:space="preserve">健身教練常用之 </t>
    </r>
    <r>
      <rPr>
        <sz val="10"/>
        <color rgb="FF404040"/>
        <rFont val="Arial"/>
        <family val="0"/>
        <charset val="1"/>
      </rPr>
      <t xml:space="preserve">Borg RPE </t>
    </r>
    <r>
      <rPr>
        <sz val="10"/>
        <color rgb="FF404040"/>
        <rFont val="Noto Sans CJK SC"/>
        <family val="2"/>
      </rPr>
      <t xml:space="preserve">簡化量表，僅供自我評估參考，非醫療診斷工具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</si>
  <si>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提醒：依課程 </t>
    </r>
    <r>
      <rPr>
        <sz val="10"/>
        <color rgb="FF404040"/>
        <rFont val="Arial"/>
        <family val="0"/>
        <charset val="1"/>
      </rPr>
      <t xml:space="preserve">AI </t>
    </r>
    <r>
      <rPr>
        <sz val="10"/>
        <color rgb="FF404040"/>
        <rFont val="Noto Sans CJK SC"/>
        <family val="2"/>
      </rPr>
      <t xml:space="preserve">使用規範，作業末尾記得附上「</t>
    </r>
    <r>
      <rPr>
        <sz val="10"/>
        <color rgb="FF404040"/>
        <rFont val="Arial"/>
        <family val="0"/>
        <charset val="1"/>
      </rPr>
      <t xml:space="preserve">AI </t>
    </r>
    <r>
      <rPr>
        <sz val="10"/>
        <color rgb="FF404040"/>
        <rFont val="Noto Sans CJK SC"/>
        <family val="2"/>
      </rPr>
      <t xml:space="preserve">使用聲明與查證紀錄」，說明這份追蹤表哪些部分是 </t>
    </r>
    <r>
      <rPr>
        <sz val="10"/>
        <color rgb="FF404040"/>
        <rFont val="Arial"/>
        <family val="0"/>
        <charset val="1"/>
      </rPr>
      <t xml:space="preserve">AI </t>
    </r>
    <r>
      <rPr>
        <sz val="10"/>
        <color rgb="FF404040"/>
        <rFont val="Noto Sans CJK SC"/>
        <family val="2"/>
      </rPr>
      <t xml:space="preserve">協助設計、你自己做了哪些關鍵判斷（例如選擇追蹤哪些指標、怎麼解讀相關係數）。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</si>
</sst>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3"/>
      <color rgb="FF1F4E5C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3"/>
      <color rgb="FF1F4E5C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5"/>
      <color rgb="FF1F4E5C"/>
      <name val="Noto Sans CJK SC"/>
      <family val="2"/>
    </font>
    <font>
      <sz val="11"/>
      <color rgb="FF404040"/>
      <name val="Arial"/>
      <family val="0"/>
      <charset val="1"/>
    </font>
    <font>
      <sz val="11"/>
      <color rgb="FF404040"/>
      <name val="Noto Sans CJK SC"/>
      <family val="2"/>
    </font>
    <font>
      <b val="true"/>
      <sz val="12"/>
      <color rgb="FF000000"/>
      <name val="Noto Sans CJK SC"/>
      <family val="2"/>
    </font>
    <font>
      <b val="true"/>
      <sz val="12"/>
      <color rgb="FF000000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40404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C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F4E5C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RPE / 自覺恢復程度 趨勢預覽 (填寫後自動更新)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每日訓練紀錄!E1</c:f>
              <c:strCache>
                <c:ptCount val="1"/>
                <c:pt idx="0">
                  <c:v>RPE自覺費力程度(0-10)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每日訓練紀錄!$A$2:$A$37</c:f>
              <c:strCache>
                <c:ptCount val="36"/>
                <c:pt idx="0">
                  <c:v>2026/09/01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</c:strCache>
            </c:strRef>
          </c:cat>
          <c:val>
            <c:numRef>
              <c:f>每日訓練紀錄!$E$2:$E$37</c:f>
              <c:numCache>
                <c:formatCode>General</c:formatCode>
                <c:ptCount val="36"/>
                <c:pt idx="0">
                  <c:v>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每日訓練紀錄!J1</c:f>
              <c:strCache>
                <c:ptCount val="1"/>
                <c:pt idx="0">
                  <c:v>自覺恢復程度(1-5)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每日訓練紀錄!$A$2:$A$37</c:f>
              <c:strCache>
                <c:ptCount val="36"/>
                <c:pt idx="0">
                  <c:v>2026/09/01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</c:strCache>
            </c:strRef>
          </c:cat>
          <c:val>
            <c:numRef>
              <c:f>每日訓練紀錄!$J$2:$J$37</c:f>
              <c:numCache>
                <c:formatCode>General</c:formatCode>
                <c:ptCount val="36"/>
                <c:pt idx="0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165481"/>
        <c:axId val="99827435"/>
      </c:lineChart>
      <c:catAx>
        <c:axId val="18165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/mm/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827435"/>
        <c:crosses val="autoZero"/>
        <c:auto val="1"/>
        <c:lblAlgn val="ctr"/>
        <c:lblOffset val="100"/>
        <c:noMultiLvlLbl val="0"/>
      </c:catAx>
      <c:valAx>
        <c:axId val="99827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分數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654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5</xdr:col>
      <xdr:colOff>212040</xdr:colOff>
      <xdr:row>46</xdr:row>
      <xdr:rowOff>170640</xdr:rowOff>
    </xdr:to>
    <xdr:graphicFrame>
      <xdr:nvGraphicFramePr>
        <xdr:cNvPr id="1" name="Chart 1"/>
        <xdr:cNvGraphicFramePr/>
      </xdr:nvGraphicFramePr>
      <xdr:xfrm>
        <a:off x="0" y="72439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2" min="10" style="0" width="14"/>
    <col collapsed="false" customWidth="true" hidden="false" outlineLevel="0" max="13" min="13" style="0" width="3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2.8" hidden="false" customHeight="false" outlineLevel="0" collapsed="false">
      <c r="A2" s="3" t="n">
        <v>46266</v>
      </c>
      <c r="B2" s="4" t="str">
        <f aca="false">IF(A2="","",TEXT(A2,"aaa"))</f>
        <v>Tue</v>
      </c>
      <c r="C2" s="5" t="s">
        <v>13</v>
      </c>
      <c r="D2" s="4" t="n">
        <v>45</v>
      </c>
      <c r="E2" s="4" t="n">
        <v>6</v>
      </c>
      <c r="F2" s="4" t="n">
        <v>6.5</v>
      </c>
      <c r="G2" s="4" t="n">
        <v>3</v>
      </c>
      <c r="H2" s="4" t="n">
        <v>3</v>
      </c>
      <c r="I2" s="4" t="n">
        <v>3</v>
      </c>
      <c r="J2" s="4" t="n">
        <v>4</v>
      </c>
      <c r="K2" s="4" t="s">
        <v>14</v>
      </c>
      <c r="L2" s="5" t="s">
        <v>15</v>
      </c>
      <c r="M2" s="6" t="s">
        <v>16</v>
      </c>
    </row>
    <row r="3" customFormat="false" ht="15" hidden="false" customHeight="false" outlineLevel="0" collapsed="false">
      <c r="A3" s="7"/>
      <c r="B3" s="8" t="str">
        <f aca="false">IF(A3="","",TEXT(A3,"aaa"))</f>
        <v/>
      </c>
      <c r="C3" s="9"/>
      <c r="D3" s="9"/>
      <c r="E3" s="9"/>
      <c r="F3" s="9"/>
      <c r="G3" s="9"/>
      <c r="H3" s="9"/>
      <c r="I3" s="9"/>
      <c r="J3" s="9"/>
      <c r="K3" s="9"/>
      <c r="L3" s="9"/>
      <c r="M3" s="10"/>
    </row>
    <row r="4" customFormat="false" ht="15" hidden="false" customHeight="false" outlineLevel="0" collapsed="false">
      <c r="A4" s="7"/>
      <c r="B4" s="8" t="str">
        <f aca="false">IF(A4="","",TEXT(A4,"aaa"))</f>
        <v/>
      </c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customFormat="false" ht="15" hidden="false" customHeight="false" outlineLevel="0" collapsed="false">
      <c r="A5" s="7"/>
      <c r="B5" s="8" t="str">
        <f aca="false">IF(A5="","",TEXT(A5,"aaa"))</f>
        <v/>
      </c>
      <c r="C5" s="9"/>
      <c r="D5" s="9"/>
      <c r="E5" s="9"/>
      <c r="F5" s="9"/>
      <c r="G5" s="9"/>
      <c r="H5" s="9"/>
      <c r="I5" s="9"/>
      <c r="J5" s="9"/>
      <c r="K5" s="9"/>
      <c r="L5" s="9"/>
      <c r="M5" s="10"/>
    </row>
    <row r="6" customFormat="false" ht="15" hidden="false" customHeight="false" outlineLevel="0" collapsed="false">
      <c r="A6" s="7"/>
      <c r="B6" s="8" t="str">
        <f aca="false">IF(A6="","",TEXT(A6,"aaa"))</f>
        <v/>
      </c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customFormat="false" ht="15" hidden="false" customHeight="false" outlineLevel="0" collapsed="false">
      <c r="A7" s="7"/>
      <c r="B7" s="8" t="str">
        <f aca="false">IF(A7="","",TEXT(A7,"aaa"))</f>
        <v/>
      </c>
      <c r="C7" s="9"/>
      <c r="D7" s="9"/>
      <c r="E7" s="9"/>
      <c r="F7" s="9"/>
      <c r="G7" s="9"/>
      <c r="H7" s="9"/>
      <c r="I7" s="9"/>
      <c r="J7" s="9"/>
      <c r="K7" s="9"/>
      <c r="L7" s="9"/>
      <c r="M7" s="10"/>
    </row>
    <row r="8" customFormat="false" ht="15" hidden="false" customHeight="false" outlineLevel="0" collapsed="false">
      <c r="A8" s="7"/>
      <c r="B8" s="8" t="str">
        <f aca="false">IF(A8="","",TEXT(A8,"aaa"))</f>
        <v/>
      </c>
      <c r="C8" s="9"/>
      <c r="D8" s="9"/>
      <c r="E8" s="9"/>
      <c r="F8" s="9"/>
      <c r="G8" s="9"/>
      <c r="H8" s="9"/>
      <c r="I8" s="9"/>
      <c r="J8" s="9"/>
      <c r="K8" s="9"/>
      <c r="L8" s="9"/>
      <c r="M8" s="10"/>
    </row>
    <row r="9" customFormat="false" ht="15" hidden="false" customHeight="false" outlineLevel="0" collapsed="false">
      <c r="A9" s="7"/>
      <c r="B9" s="8" t="str">
        <f aca="false">IF(A9="","",TEXT(A9,"aaa"))</f>
        <v/>
      </c>
      <c r="C9" s="9"/>
      <c r="D9" s="9"/>
      <c r="E9" s="9"/>
      <c r="F9" s="9"/>
      <c r="G9" s="9"/>
      <c r="H9" s="9"/>
      <c r="I9" s="9"/>
      <c r="J9" s="9"/>
      <c r="K9" s="9"/>
      <c r="L9" s="9"/>
      <c r="M9" s="10"/>
    </row>
    <row r="10" customFormat="false" ht="15" hidden="false" customHeight="false" outlineLevel="0" collapsed="false">
      <c r="A10" s="7"/>
      <c r="B10" s="8" t="str">
        <f aca="false">IF(A10="","",TEXT(A10,"aaa"))</f>
        <v/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</row>
    <row r="11" customFormat="false" ht="15" hidden="false" customHeight="false" outlineLevel="0" collapsed="false">
      <c r="A11" s="7"/>
      <c r="B11" s="8" t="str">
        <f aca="false">IF(A11="","",TEXT(A11,"aaa"))</f>
        <v/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</row>
    <row r="12" customFormat="false" ht="15" hidden="false" customHeight="false" outlineLevel="0" collapsed="false">
      <c r="A12" s="7"/>
      <c r="B12" s="8" t="str">
        <f aca="false">IF(A12="","",TEXT(A12,"aaa"))</f>
        <v/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</row>
    <row r="13" customFormat="false" ht="15" hidden="false" customHeight="false" outlineLevel="0" collapsed="false">
      <c r="A13" s="7"/>
      <c r="B13" s="8" t="str">
        <f aca="false">IF(A13="","",TEXT(A13,"aaa"))</f>
        <v/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</row>
    <row r="14" customFormat="false" ht="15" hidden="false" customHeight="false" outlineLevel="0" collapsed="false">
      <c r="A14" s="7"/>
      <c r="B14" s="8" t="str">
        <f aca="false">IF(A14="","",TEXT(A14,"aaa"))</f>
        <v/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</row>
    <row r="15" customFormat="false" ht="15" hidden="false" customHeight="false" outlineLevel="0" collapsed="false">
      <c r="A15" s="7"/>
      <c r="B15" s="8" t="str">
        <f aca="false">IF(A15="","",TEXT(A15,"aaa"))</f>
        <v/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customFormat="false" ht="15" hidden="false" customHeight="false" outlineLevel="0" collapsed="false">
      <c r="A16" s="7"/>
      <c r="B16" s="8" t="str">
        <f aca="false">IF(A16="","",TEXT(A16,"aaa"))</f>
        <v/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</row>
    <row r="17" customFormat="false" ht="15" hidden="false" customHeight="false" outlineLevel="0" collapsed="false">
      <c r="A17" s="7"/>
      <c r="B17" s="8" t="str">
        <f aca="false">IF(A17="","",TEXT(A17,"aaa"))</f>
        <v/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10"/>
    </row>
    <row r="18" customFormat="false" ht="15" hidden="false" customHeight="false" outlineLevel="0" collapsed="false">
      <c r="A18" s="7"/>
      <c r="B18" s="8" t="str">
        <f aca="false">IF(A18="","",TEXT(A18,"aaa"))</f>
        <v/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</row>
    <row r="19" customFormat="false" ht="15" hidden="false" customHeight="false" outlineLevel="0" collapsed="false">
      <c r="A19" s="7"/>
      <c r="B19" s="8" t="str">
        <f aca="false">IF(A19="","",TEXT(A19,"aaa"))</f>
        <v/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10"/>
    </row>
    <row r="20" customFormat="false" ht="15" hidden="false" customHeight="false" outlineLevel="0" collapsed="false">
      <c r="A20" s="7"/>
      <c r="B20" s="8" t="str">
        <f aca="false">IF(A20="","",TEXT(A20,"aaa"))</f>
        <v/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10"/>
    </row>
    <row r="21" customFormat="false" ht="15" hidden="false" customHeight="false" outlineLevel="0" collapsed="false">
      <c r="A21" s="7"/>
      <c r="B21" s="8" t="str">
        <f aca="false">IF(A21="","",TEXT(A21,"aaa"))</f>
        <v/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</row>
    <row r="22" customFormat="false" ht="15" hidden="false" customHeight="false" outlineLevel="0" collapsed="false">
      <c r="A22" s="7"/>
      <c r="B22" s="8" t="str">
        <f aca="false">IF(A22="","",TEXT(A22,"aaa"))</f>
        <v/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</row>
    <row r="23" customFormat="false" ht="15" hidden="false" customHeight="false" outlineLevel="0" collapsed="false">
      <c r="A23" s="7"/>
      <c r="B23" s="8" t="str">
        <f aca="false">IF(A23="","",TEXT(A23,"aaa"))</f>
        <v/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</row>
    <row r="24" customFormat="false" ht="15" hidden="false" customHeight="false" outlineLevel="0" collapsed="false">
      <c r="A24" s="7"/>
      <c r="B24" s="8" t="str">
        <f aca="false">IF(A24="","",TEXT(A24,"aaa"))</f>
        <v/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</row>
    <row r="25" customFormat="false" ht="15" hidden="false" customHeight="false" outlineLevel="0" collapsed="false">
      <c r="A25" s="7"/>
      <c r="B25" s="8" t="str">
        <f aca="false">IF(A25="","",TEXT(A25,"aaa"))</f>
        <v/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</row>
    <row r="26" customFormat="false" ht="15" hidden="false" customHeight="false" outlineLevel="0" collapsed="false">
      <c r="A26" s="7"/>
      <c r="B26" s="8" t="str">
        <f aca="false">IF(A26="","",TEXT(A26,"aaa"))</f>
        <v/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</row>
    <row r="27" customFormat="false" ht="15" hidden="false" customHeight="false" outlineLevel="0" collapsed="false">
      <c r="A27" s="7"/>
      <c r="B27" s="8" t="str">
        <f aca="false">IF(A27="","",TEXT(A27,"aaa"))</f>
        <v/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</row>
    <row r="28" customFormat="false" ht="15" hidden="false" customHeight="false" outlineLevel="0" collapsed="false">
      <c r="A28" s="7"/>
      <c r="B28" s="8" t="str">
        <f aca="false">IF(A28="","",TEXT(A28,"aaa"))</f>
        <v/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</row>
    <row r="29" customFormat="false" ht="15" hidden="false" customHeight="false" outlineLevel="0" collapsed="false">
      <c r="A29" s="7"/>
      <c r="B29" s="8" t="str">
        <f aca="false">IF(A29="","",TEXT(A29,"aaa"))</f>
        <v/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10"/>
    </row>
    <row r="30" customFormat="false" ht="15" hidden="false" customHeight="false" outlineLevel="0" collapsed="false">
      <c r="A30" s="7"/>
      <c r="B30" s="8" t="str">
        <f aca="false">IF(A30="","",TEXT(A30,"aaa"))</f>
        <v/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</row>
    <row r="31" customFormat="false" ht="15" hidden="false" customHeight="false" outlineLevel="0" collapsed="false">
      <c r="A31" s="7"/>
      <c r="B31" s="8" t="str">
        <f aca="false">IF(A31="","",TEXT(A31,"aaa"))</f>
        <v/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</row>
    <row r="32" customFormat="false" ht="15" hidden="false" customHeight="false" outlineLevel="0" collapsed="false">
      <c r="A32" s="7"/>
      <c r="B32" s="8" t="str">
        <f aca="false">IF(A32="","",TEXT(A32,"aaa"))</f>
        <v/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</row>
    <row r="33" customFormat="false" ht="15" hidden="false" customHeight="false" outlineLevel="0" collapsed="false">
      <c r="A33" s="7"/>
      <c r="B33" s="8" t="str">
        <f aca="false">IF(A33="","",TEXT(A33,"aaa"))</f>
        <v/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  <row r="34" customFormat="false" ht="15" hidden="false" customHeight="false" outlineLevel="0" collapsed="false">
      <c r="A34" s="7"/>
      <c r="B34" s="8" t="str">
        <f aca="false">IF(A34="","",TEXT(A34,"aaa"))</f>
        <v/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</row>
    <row r="35" customFormat="false" ht="15" hidden="false" customHeight="false" outlineLevel="0" collapsed="false">
      <c r="A35" s="7"/>
      <c r="B35" s="8" t="str">
        <f aca="false">IF(A35="","",TEXT(A35,"aaa"))</f>
        <v/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</row>
    <row r="36" customFormat="false" ht="15" hidden="false" customHeight="false" outlineLevel="0" collapsed="false">
      <c r="A36" s="7"/>
      <c r="B36" s="8" t="str">
        <f aca="false">IF(A36="","",TEXT(A36,"aaa"))</f>
        <v/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</row>
    <row r="37" customFormat="false" ht="15" hidden="false" customHeight="false" outlineLevel="0" collapsed="false">
      <c r="A37" s="7"/>
      <c r="B37" s="8" t="str">
        <f aca="false">IF(A37="","",TEXT(A37,"aaa"))</f>
        <v/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10"/>
    </row>
    <row r="39" customFormat="false" ht="15" hidden="false" customHeight="false" outlineLevel="0" collapsed="false">
      <c r="A39" s="11" t="s">
        <v>17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</sheetData>
  <mergeCells count="1">
    <mergeCell ref="A39:M39"/>
  </mergeCells>
  <dataValidations count="5">
    <dataValidation allowBlank="true" errorStyle="stop" operator="between" showDropDown="false" showErrorMessage="false" showInputMessage="false" sqref="C2:C37" type="list">
      <formula1>"重量訓練,有氧,瑜伽/伸展,混合訓練,休息日,其他"</formula1>
      <formula2>0</formula2>
    </dataValidation>
    <dataValidation allowBlank="true" error="RPE請填0-10之間的整數" errorStyle="stop" errorTitle="數值超出範圍" operator="between" showDropDown="false" showErrorMessage="false" showInputMessage="false" sqref="E2:E37" type="whole">
      <formula1>0</formula1>
      <formula2>10</formula2>
    </dataValidation>
    <dataValidation allowBlank="true" error="請填1-5之間的整數" errorStyle="stop" errorTitle="數值超出範圍" operator="between" showDropDown="false" showErrorMessage="false" showInputMessage="false" sqref="G2:J37" type="whole">
      <formula1>1</formula1>
      <formula2>5</formula2>
    </dataValidation>
    <dataValidation allowBlank="true" errorStyle="stop" operator="between" showDropDown="false" showErrorMessage="false" showInputMessage="false" sqref="K2:K37" type="list">
      <formula1>"Y,N"</formula1>
      <formula2>0</formula2>
    </dataValidation>
    <dataValidation allowBlank="true" errorStyle="stop" operator="between" showDropDown="false" showErrorMessage="false" showInputMessage="false" sqref="L2:L37" type="list">
      <formula1>"時間不夠,太累,工作忙,沒動力,身體不適,其他,不適用"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2" t="s">
        <v>18</v>
      </c>
      <c r="B1" s="12"/>
      <c r="C1" s="12"/>
    </row>
    <row r="2" customFormat="false" ht="17.15" hidden="false" customHeight="false" outlineLevel="0" collapsed="false">
      <c r="A2" s="13" t="s">
        <v>19</v>
      </c>
      <c r="B2" s="14" t="n">
        <f aca="false">IFERROR(ROUND(AVERAGE(每日訓練紀錄!E2:E37),1),"")</f>
        <v>6</v>
      </c>
    </row>
    <row r="3" customFormat="false" ht="17.15" hidden="false" customHeight="false" outlineLevel="0" collapsed="false">
      <c r="A3" s="13" t="s">
        <v>20</v>
      </c>
      <c r="B3" s="14" t="n">
        <f aca="false">IFERROR(ROUND(AVERAGE(每日訓練紀錄!F2:F37),1),"")</f>
        <v>6.5</v>
      </c>
    </row>
    <row r="4" customFormat="false" ht="17.15" hidden="false" customHeight="false" outlineLevel="0" collapsed="false">
      <c r="A4" s="13" t="s">
        <v>21</v>
      </c>
      <c r="B4" s="14" t="n">
        <f aca="false">IFERROR(ROUND(AVERAGE(每日訓練紀錄!G2:G37),1),"")</f>
        <v>3</v>
      </c>
    </row>
    <row r="5" customFormat="false" ht="17.15" hidden="false" customHeight="false" outlineLevel="0" collapsed="false">
      <c r="A5" s="13" t="s">
        <v>22</v>
      </c>
      <c r="B5" s="14" t="n">
        <f aca="false">IFERROR(ROUND(AVERAGE(每日訓練紀錄!H2:H37),1),"")</f>
        <v>3</v>
      </c>
    </row>
    <row r="6" customFormat="false" ht="17.15" hidden="false" customHeight="false" outlineLevel="0" collapsed="false">
      <c r="A6" s="13" t="s">
        <v>23</v>
      </c>
      <c r="B6" s="14" t="n">
        <f aca="false">IFERROR(ROUND(AVERAGE(每日訓練紀錄!I2:I37),1),"")</f>
        <v>3</v>
      </c>
    </row>
    <row r="7" customFormat="false" ht="17.15" hidden="false" customHeight="false" outlineLevel="0" collapsed="false">
      <c r="A7" s="13" t="s">
        <v>24</v>
      </c>
      <c r="B7" s="14" t="n">
        <f aca="false">IFERROR(ROUND(AVERAGE(每日訓練紀錄!J2:J37),1),"")</f>
        <v>4</v>
      </c>
    </row>
    <row r="8" customFormat="false" ht="17.15" hidden="false" customHeight="false" outlineLevel="0" collapsed="false">
      <c r="A8" s="13" t="s">
        <v>25</v>
      </c>
      <c r="B8" s="14" t="str">
        <f aca="false">IFERROR(TEXT(COUNTIF(每日訓練紀錄!K2:K37,"Y")/COUNTA(每日訓練紀錄!K2:K37),"0%"),"")</f>
        <v>100%</v>
      </c>
    </row>
    <row r="10" customFormat="false" ht="20.1" hidden="false" customHeight="false" outlineLevel="0" collapsed="false">
      <c r="A10" s="12" t="s">
        <v>26</v>
      </c>
      <c r="B10" s="12"/>
      <c r="C10" s="12"/>
    </row>
    <row r="11" customFormat="false" ht="17.15" hidden="false" customHeight="false" outlineLevel="0" collapsed="false">
      <c r="A11" s="1" t="s">
        <v>27</v>
      </c>
      <c r="B11" s="1" t="s">
        <v>28</v>
      </c>
      <c r="C11" s="1" t="s">
        <v>29</v>
      </c>
    </row>
    <row r="12" customFormat="false" ht="32.8" hidden="false" customHeight="false" outlineLevel="0" collapsed="false">
      <c r="A12" s="15" t="s">
        <v>30</v>
      </c>
      <c r="B12" s="14" t="str">
        <f aca="false">IFERROR(ROUND(CORREL(每日訓練紀錄!E2:E37,每日訓練紀錄!F2:F37),2),"資料不足")</f>
        <v>資料不足</v>
      </c>
      <c r="C12" s="15" t="s">
        <v>31</v>
      </c>
    </row>
    <row r="13" customFormat="false" ht="32.8" hidden="false" customHeight="false" outlineLevel="0" collapsed="false">
      <c r="A13" s="15" t="s">
        <v>32</v>
      </c>
      <c r="B13" s="14" t="str">
        <f aca="false">IFERROR(ROUND(CORREL(每日訓練紀錄!E2:E37,每日訓練紀錄!H2:H37),2),"資料不足")</f>
        <v>資料不足</v>
      </c>
      <c r="C13" s="15" t="s">
        <v>31</v>
      </c>
    </row>
    <row r="14" customFormat="false" ht="32.8" hidden="false" customHeight="false" outlineLevel="0" collapsed="false">
      <c r="A14" s="16" t="s">
        <v>33</v>
      </c>
      <c r="B14" s="14" t="str">
        <f aca="false">IFERROR(ROUND(CORREL(每日訓練紀錄!J2:J37,每日訓練紀錄!F2:F37),2),"資料不足")</f>
        <v>資料不足</v>
      </c>
      <c r="C14" s="15" t="s">
        <v>31</v>
      </c>
    </row>
    <row r="15" customFormat="false" ht="32.8" hidden="false" customHeight="false" outlineLevel="0" collapsed="false">
      <c r="A15" s="16" t="s">
        <v>34</v>
      </c>
      <c r="B15" s="14" t="str">
        <f aca="false">IFERROR(ROUND(CORREL(每日訓練紀錄!J2:J37,每日訓練紀錄!H2:H37),2),"資料不足")</f>
        <v>資料不足</v>
      </c>
      <c r="C15" s="15" t="s">
        <v>31</v>
      </c>
    </row>
    <row r="16" customFormat="false" ht="32.8" hidden="false" customHeight="false" outlineLevel="0" collapsed="false">
      <c r="A16" s="16" t="s">
        <v>35</v>
      </c>
      <c r="B16" s="14" t="str">
        <f aca="false">IFERROR(ROUND(CORREL(每日訓練紀錄!I2:I37,每日訓練紀錄!F2:F37),2),"資料不足")</f>
        <v>資料不足</v>
      </c>
      <c r="C16" s="15" t="s">
        <v>31</v>
      </c>
    </row>
    <row r="17" customFormat="false" ht="32.8" hidden="false" customHeight="false" outlineLevel="0" collapsed="false">
      <c r="A17" s="16" t="s">
        <v>36</v>
      </c>
      <c r="B17" s="14" t="str">
        <f aca="false">IFERROR(ROUND(CORREL(每日訓練紀錄!I2:I37,每日訓練紀錄!H2:H37),2),"資料不足")</f>
        <v>資料不足</v>
      </c>
      <c r="C17" s="15" t="s">
        <v>31</v>
      </c>
    </row>
    <row r="19" customFormat="false" ht="20.1" hidden="false" customHeight="false" outlineLevel="0" collapsed="false">
      <c r="A19" s="12" t="s">
        <v>37</v>
      </c>
      <c r="B19" s="12"/>
      <c r="C19" s="12"/>
    </row>
    <row r="20" customFormat="false" ht="17.15" hidden="false" customHeight="false" outlineLevel="0" collapsed="false">
      <c r="A20" s="1" t="s">
        <v>38</v>
      </c>
      <c r="B20" s="1" t="s">
        <v>39</v>
      </c>
      <c r="C20" s="1"/>
    </row>
    <row r="21" customFormat="false" ht="17.15" hidden="false" customHeight="false" outlineLevel="0" collapsed="false">
      <c r="A21" s="16" t="s">
        <v>40</v>
      </c>
      <c r="B21" s="14" t="n">
        <f aca="false">COUNTIF(每日訓練紀錄!L2:L37,"時間不夠")</f>
        <v>0</v>
      </c>
    </row>
    <row r="22" customFormat="false" ht="17.15" hidden="false" customHeight="false" outlineLevel="0" collapsed="false">
      <c r="A22" s="16" t="s">
        <v>41</v>
      </c>
      <c r="B22" s="14" t="n">
        <f aca="false">COUNTIF(每日訓練紀錄!L2:L37,"太累")</f>
        <v>0</v>
      </c>
    </row>
    <row r="23" customFormat="false" ht="17.15" hidden="false" customHeight="false" outlineLevel="0" collapsed="false">
      <c r="A23" s="16" t="s">
        <v>42</v>
      </c>
      <c r="B23" s="14" t="n">
        <f aca="false">COUNTIF(每日訓練紀錄!L2:L37,"工作忙")</f>
        <v>0</v>
      </c>
    </row>
    <row r="24" customFormat="false" ht="17.15" hidden="false" customHeight="false" outlineLevel="0" collapsed="false">
      <c r="A24" s="16" t="s">
        <v>43</v>
      </c>
      <c r="B24" s="14" t="n">
        <f aca="false">COUNTIF(每日訓練紀錄!L2:L37,"沒動力")</f>
        <v>0</v>
      </c>
    </row>
    <row r="25" customFormat="false" ht="17.15" hidden="false" customHeight="false" outlineLevel="0" collapsed="false">
      <c r="A25" s="16" t="s">
        <v>44</v>
      </c>
      <c r="B25" s="14" t="n">
        <f aca="false">COUNTIF(每日訓練紀錄!L2:L37,"身體不適")</f>
        <v>0</v>
      </c>
    </row>
    <row r="26" customFormat="false" ht="17.15" hidden="false" customHeight="false" outlineLevel="0" collapsed="false">
      <c r="A26" s="16" t="s">
        <v>45</v>
      </c>
      <c r="B26" s="14" t="n">
        <f aca="false">COUNTIF(每日訓練紀錄!L2:L37,"其他")</f>
        <v>0</v>
      </c>
    </row>
  </sheetData>
  <mergeCells count="3">
    <mergeCell ref="A1:C1"/>
    <mergeCell ref="A10:C10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3.1" hidden="false" customHeight="false" outlineLevel="0" collapsed="false">
      <c r="A1" s="17" t="s">
        <v>46</v>
      </c>
    </row>
    <row r="2" customFormat="false" ht="15" hidden="false" customHeight="false" outlineLevel="0" collapsed="false">
      <c r="A2" s="18"/>
    </row>
    <row r="3" customFormat="false" ht="17.15" hidden="false" customHeight="false" outlineLevel="0" collapsed="false">
      <c r="A3" s="19" t="s">
        <v>47</v>
      </c>
    </row>
    <row r="4" customFormat="false" ht="15" hidden="false" customHeight="false" outlineLevel="0" collapsed="false">
      <c r="A4" s="18"/>
    </row>
    <row r="5" customFormat="false" ht="19.4" hidden="false" customHeight="false" outlineLevel="0" collapsed="false">
      <c r="A5" s="20" t="s">
        <v>48</v>
      </c>
    </row>
    <row r="6" customFormat="false" ht="32.8" hidden="false" customHeight="false" outlineLevel="0" collapsed="false">
      <c r="A6" s="18" t="s">
        <v>49</v>
      </c>
    </row>
    <row r="7" customFormat="false" ht="32.8" hidden="false" customHeight="false" outlineLevel="0" collapsed="false">
      <c r="A7" s="18" t="s">
        <v>50</v>
      </c>
    </row>
    <row r="8" customFormat="false" ht="17.15" hidden="false" customHeight="false" outlineLevel="0" collapsed="false">
      <c r="A8" s="18" t="s">
        <v>51</v>
      </c>
    </row>
    <row r="9" customFormat="false" ht="17.15" hidden="false" customHeight="false" outlineLevel="0" collapsed="false">
      <c r="A9" s="18" t="s">
        <v>52</v>
      </c>
    </row>
    <row r="10" customFormat="false" ht="15" hidden="false" customHeight="false" outlineLevel="0" collapsed="false">
      <c r="A10" s="18"/>
    </row>
    <row r="11" customFormat="false" ht="19.4" hidden="false" customHeight="false" outlineLevel="0" collapsed="false">
      <c r="A11" s="20" t="s">
        <v>53</v>
      </c>
    </row>
    <row r="12" customFormat="false" ht="32.8" hidden="false" customHeight="false" outlineLevel="0" collapsed="false">
      <c r="A12" s="18" t="s">
        <v>54</v>
      </c>
    </row>
    <row r="13" customFormat="false" ht="17.15" hidden="false" customHeight="false" outlineLevel="0" collapsed="false">
      <c r="A13" s="18" t="s">
        <v>55</v>
      </c>
    </row>
    <row r="14" customFormat="false" ht="32.8" hidden="false" customHeight="false" outlineLevel="0" collapsed="false">
      <c r="A14" s="18" t="s">
        <v>56</v>
      </c>
    </row>
    <row r="15" customFormat="false" ht="32.8" hidden="false" customHeight="false" outlineLevel="0" collapsed="false">
      <c r="A15" s="18" t="s">
        <v>57</v>
      </c>
    </row>
    <row r="16" customFormat="false" ht="15" hidden="false" customHeight="false" outlineLevel="0" collapsed="false">
      <c r="A16" s="18"/>
    </row>
    <row r="17" customFormat="false" ht="19.4" hidden="false" customHeight="false" outlineLevel="0" collapsed="false">
      <c r="A17" s="20" t="s">
        <v>58</v>
      </c>
    </row>
    <row r="18" customFormat="false" ht="17.15" hidden="false" customHeight="false" outlineLevel="0" collapsed="false">
      <c r="A18" s="18" t="s">
        <v>59</v>
      </c>
    </row>
    <row r="19" customFormat="false" ht="17.15" hidden="false" customHeight="false" outlineLevel="0" collapsed="false">
      <c r="A19" s="18" t="s">
        <v>60</v>
      </c>
    </row>
    <row r="20" customFormat="false" ht="17.15" hidden="false" customHeight="false" outlineLevel="0" collapsed="false">
      <c r="A20" s="18" t="s">
        <v>61</v>
      </c>
    </row>
    <row r="21" customFormat="false" ht="17.15" hidden="false" customHeight="false" outlineLevel="0" collapsed="false">
      <c r="A21" s="18" t="s">
        <v>62</v>
      </c>
    </row>
    <row r="22" customFormat="false" ht="15" hidden="false" customHeight="false" outlineLevel="0" collapsed="false">
      <c r="A22" s="21" t="s">
        <v>63</v>
      </c>
    </row>
    <row r="23" customFormat="false" ht="15" hidden="false" customHeight="false" outlineLevel="0" collapsed="false">
      <c r="A23" s="18"/>
    </row>
    <row r="24" customFormat="false" ht="29.85" hidden="false" customHeight="false" outlineLevel="0" collapsed="false">
      <c r="A24" s="2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2026-09-11T02:43:44Z</dcterms:created>
  <dc:creator>openpyxl</dc:creator>
  <dc:description/>
  <dc:language>en-US</dc:language>
  <cp:lastModifiedBy/>
  <dcterms:modified xsi:type="dcterms:W3CDTF">2026-09-11T10:43:45Z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