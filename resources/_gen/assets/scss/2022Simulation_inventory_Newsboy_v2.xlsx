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onna\在職專班\05. 557401營運與專案管理-王志軒\HW2\"/>
    </mc:Choice>
  </mc:AlternateContent>
  <xr:revisionPtr revIDLastSave="0" documentId="13_ncr:1_{9A095A64-B301-430E-AEF3-7AB1DC946F87}" xr6:coauthVersionLast="47" xr6:coauthVersionMax="47" xr10:uidLastSave="{00000000-0000-0000-0000-000000000000}"/>
  <bookViews>
    <workbookView xWindow="-120" yWindow="-120" windowWidth="29040" windowHeight="15720" tabRatio="500" activeTab="2" xr2:uid="{00000000-000D-0000-FFFF-FFFF00000000}"/>
  </bookViews>
  <sheets>
    <sheet name="P system" sheetId="1" r:id="rId1"/>
    <sheet name="Q system" sheetId="2" r:id="rId2"/>
    <sheet name="Newsbo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4" i="3" l="1"/>
  <c r="M103" i="3"/>
  <c r="M102" i="3"/>
  <c r="M101" i="3"/>
  <c r="M100" i="3"/>
  <c r="M99" i="3"/>
  <c r="M98" i="3"/>
  <c r="M97" i="3"/>
  <c r="M96" i="3"/>
  <c r="M95" i="3"/>
  <c r="M94" i="3"/>
  <c r="M93" i="3"/>
  <c r="M92" i="3"/>
  <c r="M91" i="3"/>
  <c r="M90" i="3"/>
  <c r="M89" i="3"/>
  <c r="M88" i="3"/>
  <c r="V87" i="3"/>
  <c r="M87" i="3"/>
  <c r="M86" i="3"/>
  <c r="M85" i="3"/>
  <c r="M84" i="3"/>
  <c r="M83" i="3"/>
  <c r="M82" i="3"/>
  <c r="M81" i="3"/>
  <c r="M80" i="3"/>
  <c r="M79" i="3"/>
  <c r="M78" i="3"/>
  <c r="V77" i="3"/>
  <c r="M77" i="3"/>
  <c r="M76" i="3"/>
  <c r="M75" i="3"/>
  <c r="M74" i="3"/>
  <c r="M73" i="3"/>
  <c r="M72" i="3"/>
  <c r="M71" i="3"/>
  <c r="M70" i="3"/>
  <c r="M69" i="3"/>
  <c r="M68" i="3"/>
  <c r="AK67" i="3"/>
  <c r="M67" i="3"/>
  <c r="M66" i="3"/>
  <c r="M65" i="3"/>
  <c r="M64" i="3"/>
  <c r="M63" i="3"/>
  <c r="M62" i="3"/>
  <c r="M61" i="3"/>
  <c r="AA60" i="3"/>
  <c r="M60" i="3"/>
  <c r="M59" i="3"/>
  <c r="M58" i="3"/>
  <c r="M57" i="3"/>
  <c r="M56" i="3"/>
  <c r="M55" i="3"/>
  <c r="Q54" i="3"/>
  <c r="M54" i="3"/>
  <c r="M53" i="3"/>
  <c r="M52" i="3"/>
  <c r="M51" i="3"/>
  <c r="M50" i="3"/>
  <c r="AK49" i="3"/>
  <c r="M49" i="3"/>
  <c r="M48" i="3"/>
  <c r="V47" i="3"/>
  <c r="M47" i="3"/>
  <c r="M46" i="3"/>
  <c r="Q45" i="3"/>
  <c r="M45" i="3"/>
  <c r="M44" i="3"/>
  <c r="Q43" i="3"/>
  <c r="M43" i="3"/>
  <c r="M42" i="3"/>
  <c r="V41" i="3"/>
  <c r="M41" i="3"/>
  <c r="AA40" i="3"/>
  <c r="M40" i="3"/>
  <c r="AK39" i="3"/>
  <c r="Q39" i="3"/>
  <c r="M39" i="3"/>
  <c r="M38" i="3"/>
  <c r="AA37" i="3"/>
  <c r="M37" i="3"/>
  <c r="Q36" i="3"/>
  <c r="M36" i="3"/>
  <c r="M35" i="3"/>
  <c r="AF34" i="3"/>
  <c r="Q34" i="3"/>
  <c r="M34" i="3"/>
  <c r="Q33" i="3"/>
  <c r="M33" i="3"/>
  <c r="AF32" i="3"/>
  <c r="M32" i="3"/>
  <c r="Q31" i="3"/>
  <c r="M31" i="3"/>
  <c r="AK30" i="3"/>
  <c r="Q30" i="3"/>
  <c r="M30" i="3"/>
  <c r="AF29" i="3"/>
  <c r="M29" i="3"/>
  <c r="AK28" i="3"/>
  <c r="Q28" i="3"/>
  <c r="M28" i="3"/>
  <c r="AK27" i="3"/>
  <c r="Q27" i="3"/>
  <c r="M27" i="3"/>
  <c r="M26" i="3"/>
  <c r="AA25" i="3"/>
  <c r="Q25" i="3"/>
  <c r="M25" i="3"/>
  <c r="AA24" i="3"/>
  <c r="Q24" i="3"/>
  <c r="M24" i="3"/>
  <c r="AA23" i="3"/>
  <c r="V23" i="3"/>
  <c r="Q23" i="3"/>
  <c r="M23" i="3"/>
  <c r="AA22" i="3"/>
  <c r="M22" i="3"/>
  <c r="AF21" i="3"/>
  <c r="Q21" i="3"/>
  <c r="M21" i="3"/>
  <c r="C21" i="3"/>
  <c r="AK20" i="3"/>
  <c r="Q20" i="3"/>
  <c r="M20" i="3"/>
  <c r="AA19" i="3"/>
  <c r="V19" i="3"/>
  <c r="Q19" i="3"/>
  <c r="M19" i="3"/>
  <c r="AA18" i="3"/>
  <c r="M18" i="3"/>
  <c r="AA17" i="3"/>
  <c r="M17" i="3"/>
  <c r="AF16" i="3"/>
  <c r="Q16" i="3"/>
  <c r="M16" i="3"/>
  <c r="AK15" i="3"/>
  <c r="AA15" i="3"/>
  <c r="Q15" i="3"/>
  <c r="M15" i="3"/>
  <c r="AA14" i="3"/>
  <c r="Q14" i="3"/>
  <c r="M14" i="3"/>
  <c r="AK13" i="3"/>
  <c r="AF13" i="3"/>
  <c r="Q13" i="3"/>
  <c r="M13" i="3"/>
  <c r="B13" i="3"/>
  <c r="AA12" i="3"/>
  <c r="M12" i="3"/>
  <c r="B12" i="3"/>
  <c r="AF11" i="3"/>
  <c r="Q11" i="3"/>
  <c r="M11" i="3"/>
  <c r="B11" i="3"/>
  <c r="AA10" i="3"/>
  <c r="M10" i="3"/>
  <c r="B10" i="3"/>
  <c r="AF9" i="3"/>
  <c r="Q9" i="3"/>
  <c r="M9" i="3"/>
  <c r="J9" i="3"/>
  <c r="E9" i="3"/>
  <c r="E10" i="3" s="1"/>
  <c r="B9" i="3"/>
  <c r="AA8" i="3"/>
  <c r="V8" i="3"/>
  <c r="Q8" i="3"/>
  <c r="M8" i="3"/>
  <c r="J8" i="3"/>
  <c r="AF37" i="3" s="1"/>
  <c r="E8" i="3"/>
  <c r="I5" i="3" s="1"/>
  <c r="B8" i="3"/>
  <c r="AK7" i="3"/>
  <c r="AA7" i="3"/>
  <c r="Q7" i="3"/>
  <c r="M7" i="3"/>
  <c r="J7" i="3"/>
  <c r="AA64" i="3" s="1"/>
  <c r="AF6" i="3"/>
  <c r="AA6" i="3"/>
  <c r="Q6" i="3"/>
  <c r="M6" i="3"/>
  <c r="J6" i="3"/>
  <c r="V68" i="3" s="1"/>
  <c r="AK5" i="3"/>
  <c r="AA5" i="3"/>
  <c r="V5" i="3"/>
  <c r="Q5" i="3"/>
  <c r="M5" i="3"/>
  <c r="J5" i="3"/>
  <c r="Q22" i="3" s="1"/>
  <c r="Z2" i="3"/>
  <c r="P2" i="3"/>
  <c r="I33" i="2"/>
  <c r="I32" i="2"/>
  <c r="F29" i="2"/>
  <c r="I31" i="2" s="1"/>
  <c r="B29" i="2"/>
  <c r="E32" i="2" s="1"/>
  <c r="I13" i="2"/>
  <c r="I14" i="2" s="1"/>
  <c r="I15" i="2" s="1"/>
  <c r="I16" i="2" s="1"/>
  <c r="E13" i="2"/>
  <c r="E14" i="2" s="1"/>
  <c r="E15" i="2" s="1"/>
  <c r="E16" i="2" s="1"/>
  <c r="F12" i="2"/>
  <c r="B12" i="2"/>
  <c r="R31" i="1"/>
  <c r="R30" i="1"/>
  <c r="R29" i="1"/>
  <c r="R28" i="1"/>
  <c r="R27" i="1"/>
  <c r="R26" i="1"/>
  <c r="R25" i="1"/>
  <c r="R24" i="1"/>
  <c r="R23" i="1"/>
  <c r="R22" i="1"/>
  <c r="R21" i="1"/>
  <c r="S24" i="1" s="1"/>
  <c r="I14" i="1"/>
  <c r="I15" i="1" s="1"/>
  <c r="I16" i="1" s="1"/>
  <c r="E14" i="1"/>
  <c r="E15" i="1" s="1"/>
  <c r="E16" i="1" s="1"/>
  <c r="I13" i="1"/>
  <c r="E13" i="1"/>
  <c r="I7" i="3" l="1"/>
  <c r="E11" i="3"/>
  <c r="S25" i="1"/>
  <c r="L24" i="1"/>
  <c r="AE36" i="3"/>
  <c r="U36" i="3"/>
  <c r="E33" i="2"/>
  <c r="AK104" i="3"/>
  <c r="AK101" i="3"/>
  <c r="AK98" i="3"/>
  <c r="AK95" i="3"/>
  <c r="AK92" i="3"/>
  <c r="AK89" i="3"/>
  <c r="AK86" i="3"/>
  <c r="AK83" i="3"/>
  <c r="AK80" i="3"/>
  <c r="AK77" i="3"/>
  <c r="AK74" i="3"/>
  <c r="AK71" i="3"/>
  <c r="AK68" i="3"/>
  <c r="AK65" i="3"/>
  <c r="AK62" i="3"/>
  <c r="AK59" i="3"/>
  <c r="AK56" i="3"/>
  <c r="AK53" i="3"/>
  <c r="AK50" i="3"/>
  <c r="AK47" i="3"/>
  <c r="AK44" i="3"/>
  <c r="AK41" i="3"/>
  <c r="AK103" i="3"/>
  <c r="AK100" i="3"/>
  <c r="AK97" i="3"/>
  <c r="AK94" i="3"/>
  <c r="AK91" i="3"/>
  <c r="AK88" i="3"/>
  <c r="AK85" i="3"/>
  <c r="AK82" i="3"/>
  <c r="AK79" i="3"/>
  <c r="AK76" i="3"/>
  <c r="AK99" i="3"/>
  <c r="AK69" i="3"/>
  <c r="AK43" i="3"/>
  <c r="AK42" i="3"/>
  <c r="AK38" i="3"/>
  <c r="AK35" i="3"/>
  <c r="AK32" i="3"/>
  <c r="AK29" i="3"/>
  <c r="AK26" i="3"/>
  <c r="AK17" i="3"/>
  <c r="AK70" i="3"/>
  <c r="AK102" i="3"/>
  <c r="AK23" i="3"/>
  <c r="AK72" i="3"/>
  <c r="AK73" i="3"/>
  <c r="AK40" i="3"/>
  <c r="AK37" i="3"/>
  <c r="AK34" i="3"/>
  <c r="AK87" i="3"/>
  <c r="AK90" i="3"/>
  <c r="AK84" i="3"/>
  <c r="AK63" i="3"/>
  <c r="AK61" i="3"/>
  <c r="AK60" i="3"/>
  <c r="AK81" i="3"/>
  <c r="AK64" i="3"/>
  <c r="AK58" i="3"/>
  <c r="AK57" i="3"/>
  <c r="AK93" i="3"/>
  <c r="AK78" i="3"/>
  <c r="V10" i="3"/>
  <c r="V12" i="3"/>
  <c r="AJ26" i="3"/>
  <c r="U28" i="3"/>
  <c r="AE30" i="3"/>
  <c r="AK31" i="3"/>
  <c r="AK33" i="3"/>
  <c r="P50" i="3"/>
  <c r="AF54" i="3"/>
  <c r="AA58" i="3"/>
  <c r="AF60" i="3"/>
  <c r="AF62" i="3"/>
  <c r="AF65" i="3"/>
  <c r="U71" i="3"/>
  <c r="V74" i="3"/>
  <c r="AA78" i="3"/>
  <c r="AA93" i="3"/>
  <c r="I6" i="3"/>
  <c r="Z50" i="3" s="1"/>
  <c r="V15" i="3"/>
  <c r="AJ16" i="3"/>
  <c r="AF17" i="3"/>
  <c r="AF18" i="3"/>
  <c r="AF22" i="3"/>
  <c r="V24" i="3"/>
  <c r="AK45" i="3"/>
  <c r="AF56" i="3"/>
  <c r="V103" i="3"/>
  <c r="V100" i="3"/>
  <c r="V97" i="3"/>
  <c r="V94" i="3"/>
  <c r="V91" i="3"/>
  <c r="V88" i="3"/>
  <c r="V85" i="3"/>
  <c r="V82" i="3"/>
  <c r="V79" i="3"/>
  <c r="V76" i="3"/>
  <c r="V73" i="3"/>
  <c r="V70" i="3"/>
  <c r="V67" i="3"/>
  <c r="V64" i="3"/>
  <c r="V98" i="3"/>
  <c r="V93" i="3"/>
  <c r="V81" i="3"/>
  <c r="V62" i="3"/>
  <c r="V61" i="3"/>
  <c r="C20" i="3"/>
  <c r="V78" i="3"/>
  <c r="V63" i="3"/>
  <c r="V59" i="3"/>
  <c r="V58" i="3"/>
  <c r="V40" i="3"/>
  <c r="V37" i="3"/>
  <c r="V34" i="3"/>
  <c r="V31" i="3"/>
  <c r="V28" i="3"/>
  <c r="V101" i="3"/>
  <c r="V96" i="3"/>
  <c r="V75" i="3"/>
  <c r="V65" i="3"/>
  <c r="V60" i="3"/>
  <c r="V56" i="3"/>
  <c r="V55" i="3"/>
  <c r="V25" i="3"/>
  <c r="V57" i="3"/>
  <c r="V53" i="3"/>
  <c r="V52" i="3"/>
  <c r="V104" i="3"/>
  <c r="V99" i="3"/>
  <c r="V66" i="3"/>
  <c r="V54" i="3"/>
  <c r="V50" i="3"/>
  <c r="V49" i="3"/>
  <c r="V102" i="3"/>
  <c r="V89" i="3"/>
  <c r="V86" i="3"/>
  <c r="V48" i="3"/>
  <c r="V44" i="3"/>
  <c r="V43" i="3"/>
  <c r="V83" i="3"/>
  <c r="V69" i="3"/>
  <c r="V45" i="3"/>
  <c r="V92" i="3"/>
  <c r="V80" i="3"/>
  <c r="V71" i="3"/>
  <c r="V7" i="3"/>
  <c r="AK16" i="3"/>
  <c r="AL16" i="3" s="1"/>
  <c r="AK21" i="3"/>
  <c r="V36" i="3"/>
  <c r="AK52" i="3"/>
  <c r="V84" i="3"/>
  <c r="Z71" i="3"/>
  <c r="AJ71" i="3"/>
  <c r="P71" i="3"/>
  <c r="I29" i="2"/>
  <c r="U2" i="3"/>
  <c r="AK9" i="3"/>
  <c r="AK11" i="3"/>
  <c r="AF14" i="3"/>
  <c r="V20" i="3"/>
  <c r="V26" i="3"/>
  <c r="Z36" i="3"/>
  <c r="AJ50" i="3"/>
  <c r="AK54" i="3"/>
  <c r="Q66" i="3"/>
  <c r="U69" i="3"/>
  <c r="AE69" i="3"/>
  <c r="AJ69" i="3"/>
  <c r="Q72" i="3"/>
  <c r="V95" i="3"/>
  <c r="AF101" i="3"/>
  <c r="AF8" i="3"/>
  <c r="U16" i="3"/>
  <c r="AK18" i="3"/>
  <c r="AK22" i="3"/>
  <c r="V27" i="3"/>
  <c r="Z28" i="3"/>
  <c r="V29" i="3"/>
  <c r="U30" i="3"/>
  <c r="V35" i="3"/>
  <c r="AF36" i="3"/>
  <c r="AG36" i="3" s="1"/>
  <c r="Z44" i="3"/>
  <c r="AJ44" i="3"/>
  <c r="AE44" i="3"/>
  <c r="Q46" i="3"/>
  <c r="AA61" i="3"/>
  <c r="AA63" i="3"/>
  <c r="P69" i="3"/>
  <c r="V72" i="3"/>
  <c r="Q90" i="3"/>
  <c r="AF103" i="3"/>
  <c r="AF100" i="3"/>
  <c r="AF97" i="3"/>
  <c r="AF94" i="3"/>
  <c r="AF91" i="3"/>
  <c r="AF88" i="3"/>
  <c r="AF85" i="3"/>
  <c r="AF82" i="3"/>
  <c r="AF79" i="3"/>
  <c r="AF76" i="3"/>
  <c r="AF73" i="3"/>
  <c r="AF70" i="3"/>
  <c r="AF67" i="3"/>
  <c r="AF64" i="3"/>
  <c r="AF61" i="3"/>
  <c r="AF58" i="3"/>
  <c r="AF55" i="3"/>
  <c r="AF52" i="3"/>
  <c r="AF49" i="3"/>
  <c r="AF46" i="3"/>
  <c r="AF43" i="3"/>
  <c r="AF102" i="3"/>
  <c r="AF99" i="3"/>
  <c r="AF96" i="3"/>
  <c r="AF93" i="3"/>
  <c r="AF90" i="3"/>
  <c r="AF87" i="3"/>
  <c r="AF84" i="3"/>
  <c r="AF81" i="3"/>
  <c r="AF78" i="3"/>
  <c r="AF75" i="3"/>
  <c r="AF66" i="3"/>
  <c r="AF51" i="3"/>
  <c r="AF50" i="3"/>
  <c r="C22" i="3"/>
  <c r="AF104" i="3"/>
  <c r="AF68" i="3"/>
  <c r="AF48" i="3"/>
  <c r="AF47" i="3"/>
  <c r="AF24" i="3"/>
  <c r="AF45" i="3"/>
  <c r="AF44" i="3"/>
  <c r="AF89" i="3"/>
  <c r="AF86" i="3"/>
  <c r="AF69" i="3"/>
  <c r="AF42" i="3"/>
  <c r="AF38" i="3"/>
  <c r="AF83" i="3"/>
  <c r="AF71" i="3"/>
  <c r="AF41" i="3"/>
  <c r="AF92" i="3"/>
  <c r="AF80" i="3"/>
  <c r="AF77" i="3"/>
  <c r="AF72" i="3"/>
  <c r="AF95" i="3"/>
  <c r="AF74" i="3"/>
  <c r="AF98" i="3"/>
  <c r="I30" i="2"/>
  <c r="AE2" i="3"/>
  <c r="AK6" i="3"/>
  <c r="V13" i="3"/>
  <c r="V16" i="3"/>
  <c r="W16" i="3" s="1"/>
  <c r="AF19" i="3"/>
  <c r="V21" i="3"/>
  <c r="AF23" i="3"/>
  <c r="AA28" i="3"/>
  <c r="V30" i="3"/>
  <c r="V32" i="3"/>
  <c r="U33" i="3"/>
  <c r="Q42" i="3"/>
  <c r="P44" i="3"/>
  <c r="V46" i="3"/>
  <c r="AK48" i="3"/>
  <c r="U51" i="3"/>
  <c r="AE51" i="3"/>
  <c r="P51" i="3"/>
  <c r="Q55" i="3"/>
  <c r="AF63" i="3"/>
  <c r="Z69" i="3"/>
  <c r="V90" i="3"/>
  <c r="E29" i="2"/>
  <c r="E31" i="2"/>
  <c r="AJ2" i="3"/>
  <c r="P8" i="3"/>
  <c r="R8" i="3" s="1"/>
  <c r="AJ8" i="3"/>
  <c r="V9" i="3"/>
  <c r="AF10" i="3"/>
  <c r="V11" i="3"/>
  <c r="AF12" i="3"/>
  <c r="AK14" i="3"/>
  <c r="Q18" i="3"/>
  <c r="C19" i="3"/>
  <c r="AA20" i="3"/>
  <c r="C23" i="3"/>
  <c r="AF25" i="3"/>
  <c r="AA26" i="3"/>
  <c r="AA31" i="3"/>
  <c r="V33" i="3"/>
  <c r="AJ36" i="3"/>
  <c r="AJ38" i="3"/>
  <c r="V39" i="3"/>
  <c r="AF40" i="3"/>
  <c r="AK46" i="3"/>
  <c r="V51" i="3"/>
  <c r="AF53" i="3"/>
  <c r="AK66" i="3"/>
  <c r="AK75" i="3"/>
  <c r="AK96" i="3"/>
  <c r="E30" i="2"/>
  <c r="AK8" i="3"/>
  <c r="AF15" i="3"/>
  <c r="V17" i="3"/>
  <c r="AF20" i="3"/>
  <c r="AK24" i="3"/>
  <c r="AF27" i="3"/>
  <c r="AE28" i="3"/>
  <c r="AA29" i="3"/>
  <c r="Z30" i="3"/>
  <c r="AA34" i="3"/>
  <c r="AK36" i="3"/>
  <c r="AF39" i="3"/>
  <c r="V42" i="3"/>
  <c r="AF57" i="3"/>
  <c r="AF59" i="3"/>
  <c r="Q104" i="3"/>
  <c r="Q101" i="3"/>
  <c r="Q98" i="3"/>
  <c r="Q95" i="3"/>
  <c r="Q92" i="3"/>
  <c r="Q89" i="3"/>
  <c r="Q86" i="3"/>
  <c r="Q83" i="3"/>
  <c r="Q80" i="3"/>
  <c r="Q77" i="3"/>
  <c r="Q74" i="3"/>
  <c r="Q71" i="3"/>
  <c r="R71" i="3" s="1"/>
  <c r="Q68" i="3"/>
  <c r="Q65" i="3"/>
  <c r="Q62" i="3"/>
  <c r="Q59" i="3"/>
  <c r="Q56" i="3"/>
  <c r="Q53" i="3"/>
  <c r="Q50" i="3"/>
  <c r="R50" i="3" s="1"/>
  <c r="Q47" i="3"/>
  <c r="Q44" i="3"/>
  <c r="Q103" i="3"/>
  <c r="Q100" i="3"/>
  <c r="Q97" i="3"/>
  <c r="Q94" i="3"/>
  <c r="Q91" i="3"/>
  <c r="Q88" i="3"/>
  <c r="Q85" i="3"/>
  <c r="Q82" i="3"/>
  <c r="Q79" i="3"/>
  <c r="Q76" i="3"/>
  <c r="Q84" i="3"/>
  <c r="Q73" i="3"/>
  <c r="Q41" i="3"/>
  <c r="Q38" i="3"/>
  <c r="Q35" i="3"/>
  <c r="Q32" i="3"/>
  <c r="Q29" i="3"/>
  <c r="Q26" i="3"/>
  <c r="Q17" i="3"/>
  <c r="Q93" i="3"/>
  <c r="Q81" i="3"/>
  <c r="Q78" i="3"/>
  <c r="Q63" i="3"/>
  <c r="Q96" i="3"/>
  <c r="Q75" i="3"/>
  <c r="Q64" i="3"/>
  <c r="Q61" i="3"/>
  <c r="Q60" i="3"/>
  <c r="Q58" i="3"/>
  <c r="Q57" i="3"/>
  <c r="Q40" i="3"/>
  <c r="Q37" i="3"/>
  <c r="Q99" i="3"/>
  <c r="Q67" i="3"/>
  <c r="Q52" i="3"/>
  <c r="Q51" i="3"/>
  <c r="Q102" i="3"/>
  <c r="Q49" i="3"/>
  <c r="Q48" i="3"/>
  <c r="Q69" i="3"/>
  <c r="R69" i="3" s="1"/>
  <c r="AF5" i="3"/>
  <c r="V6" i="3"/>
  <c r="AA104" i="3"/>
  <c r="AA101" i="3"/>
  <c r="AA98" i="3"/>
  <c r="AA95" i="3"/>
  <c r="AA92" i="3"/>
  <c r="AA89" i="3"/>
  <c r="AA86" i="3"/>
  <c r="AA83" i="3"/>
  <c r="AA80" i="3"/>
  <c r="AA77" i="3"/>
  <c r="AA74" i="3"/>
  <c r="AA71" i="3"/>
  <c r="AB71" i="3" s="1"/>
  <c r="AA68" i="3"/>
  <c r="AA65" i="3"/>
  <c r="AA62" i="3"/>
  <c r="AA59" i="3"/>
  <c r="AA56" i="3"/>
  <c r="AA53" i="3"/>
  <c r="AA50" i="3"/>
  <c r="AA47" i="3"/>
  <c r="AA44" i="3"/>
  <c r="AB44" i="3" s="1"/>
  <c r="AA41" i="3"/>
  <c r="AA103" i="3"/>
  <c r="AA100" i="3"/>
  <c r="AA97" i="3"/>
  <c r="AA94" i="3"/>
  <c r="AA91" i="3"/>
  <c r="AA96" i="3"/>
  <c r="AA88" i="3"/>
  <c r="AA75" i="3"/>
  <c r="AA57" i="3"/>
  <c r="AA55" i="3"/>
  <c r="AA85" i="3"/>
  <c r="AA66" i="3"/>
  <c r="AA54" i="3"/>
  <c r="AA52" i="3"/>
  <c r="AA99" i="3"/>
  <c r="AA82" i="3"/>
  <c r="AA67" i="3"/>
  <c r="AA51" i="3"/>
  <c r="AA49" i="3"/>
  <c r="AA39" i="3"/>
  <c r="AA36" i="3"/>
  <c r="AB36" i="3" s="1"/>
  <c r="AA33" i="3"/>
  <c r="AB33" i="3" s="1"/>
  <c r="AA30" i="3"/>
  <c r="AB30" i="3" s="1"/>
  <c r="AA27" i="3"/>
  <c r="AA79" i="3"/>
  <c r="AA48" i="3"/>
  <c r="AA46" i="3"/>
  <c r="AA102" i="3"/>
  <c r="AA76" i="3"/>
  <c r="AA69" i="3"/>
  <c r="AB69" i="3" s="1"/>
  <c r="AA45" i="3"/>
  <c r="AA43" i="3"/>
  <c r="AA38" i="3"/>
  <c r="AA35" i="3"/>
  <c r="AA72" i="3"/>
  <c r="AA90" i="3"/>
  <c r="AA87" i="3"/>
  <c r="AA73" i="3"/>
  <c r="AA84" i="3"/>
  <c r="AF7" i="3"/>
  <c r="P10" i="3"/>
  <c r="AA13" i="3"/>
  <c r="AA16" i="3"/>
  <c r="U19" i="3"/>
  <c r="W19" i="3" s="1"/>
  <c r="AK19" i="3"/>
  <c r="AA21" i="3"/>
  <c r="AF28" i="3"/>
  <c r="AF30" i="3"/>
  <c r="AA32" i="3"/>
  <c r="Z33" i="3"/>
  <c r="AF35" i="3"/>
  <c r="P41" i="3"/>
  <c r="Z47" i="3"/>
  <c r="AE47" i="3"/>
  <c r="U47" i="3"/>
  <c r="W47" i="3" s="1"/>
  <c r="AJ51" i="3"/>
  <c r="AJ62" i="3"/>
  <c r="Q70" i="3"/>
  <c r="AA81" i="3"/>
  <c r="AA9" i="3"/>
  <c r="Q10" i="3"/>
  <c r="AK10" i="3"/>
  <c r="AA11" i="3"/>
  <c r="Q12" i="3"/>
  <c r="AK12" i="3"/>
  <c r="V14" i="3"/>
  <c r="V18" i="3"/>
  <c r="V22" i="3"/>
  <c r="AK25" i="3"/>
  <c r="AF26" i="3"/>
  <c r="AF31" i="3"/>
  <c r="AF33" i="3"/>
  <c r="V38" i="3"/>
  <c r="AA42" i="3"/>
  <c r="U45" i="3"/>
  <c r="AE45" i="3"/>
  <c r="AJ45" i="3"/>
  <c r="P47" i="3"/>
  <c r="AK51" i="3"/>
  <c r="AK55" i="3"/>
  <c r="AA70" i="3"/>
  <c r="Q87" i="3"/>
  <c r="U102" i="3"/>
  <c r="Z56" i="3"/>
  <c r="U57" i="3"/>
  <c r="AE57" i="3"/>
  <c r="Z62" i="3"/>
  <c r="U81" i="3"/>
  <c r="AE81" i="3"/>
  <c r="AJ41" i="3"/>
  <c r="Z74" i="3"/>
  <c r="AJ74" i="3"/>
  <c r="P74" i="3"/>
  <c r="AE74" i="3"/>
  <c r="P81" i="3"/>
  <c r="P26" i="3"/>
  <c r="P29" i="3"/>
  <c r="P38" i="3"/>
  <c r="Z57" i="3"/>
  <c r="U62" i="3"/>
  <c r="U72" i="3"/>
  <c r="AE72" i="3"/>
  <c r="U90" i="3"/>
  <c r="P72" i="3"/>
  <c r="U74" i="3"/>
  <c r="AE90" i="3"/>
  <c r="AE102" i="3"/>
  <c r="AB47" i="3" l="1"/>
  <c r="R51" i="3"/>
  <c r="AB56" i="3"/>
  <c r="AL36" i="3"/>
  <c r="AL41" i="3"/>
  <c r="W90" i="3"/>
  <c r="AG74" i="3"/>
  <c r="R26" i="3"/>
  <c r="R10" i="3"/>
  <c r="AB28" i="3"/>
  <c r="AG72" i="3"/>
  <c r="S26" i="1"/>
  <c r="L25" i="1"/>
  <c r="E12" i="3"/>
  <c r="I9" i="3" s="1"/>
  <c r="Z43" i="3" s="1"/>
  <c r="AB43" i="3" s="1"/>
  <c r="I8" i="3"/>
  <c r="AB74" i="3"/>
  <c r="R29" i="3"/>
  <c r="W33" i="3"/>
  <c r="AG69" i="3"/>
  <c r="AG51" i="3"/>
  <c r="W102" i="3"/>
  <c r="Z100" i="3"/>
  <c r="AB100" i="3" s="1"/>
  <c r="Z97" i="3"/>
  <c r="AB97" i="3" s="1"/>
  <c r="Z91" i="3"/>
  <c r="AB91" i="3" s="1"/>
  <c r="Z85" i="3"/>
  <c r="AB85" i="3" s="1"/>
  <c r="Z82" i="3"/>
  <c r="P103" i="3"/>
  <c r="AE91" i="3"/>
  <c r="P90" i="3"/>
  <c r="AE82" i="3"/>
  <c r="AG82" i="3" s="1"/>
  <c r="AJ79" i="3"/>
  <c r="Z64" i="3"/>
  <c r="AB64" i="3" s="1"/>
  <c r="AJ46" i="3"/>
  <c r="AJ94" i="3"/>
  <c r="U88" i="3"/>
  <c r="AE79" i="3"/>
  <c r="AG79" i="3" s="1"/>
  <c r="AJ76" i="3"/>
  <c r="AL76" i="3" s="1"/>
  <c r="P73" i="3"/>
  <c r="R73" i="3" s="1"/>
  <c r="U64" i="3"/>
  <c r="AE46" i="3"/>
  <c r="AJ43" i="3"/>
  <c r="U91" i="3"/>
  <c r="U85" i="3"/>
  <c r="AE76" i="3"/>
  <c r="AJ70" i="3"/>
  <c r="U58" i="3"/>
  <c r="W58" i="3" s="1"/>
  <c r="AJ102" i="3"/>
  <c r="AL102" i="3" s="1"/>
  <c r="Z99" i="3"/>
  <c r="AB99" i="3" s="1"/>
  <c r="AJ97" i="3"/>
  <c r="AL97" i="3" s="1"/>
  <c r="U82" i="3"/>
  <c r="P78" i="3"/>
  <c r="AE70" i="3"/>
  <c r="Z67" i="3"/>
  <c r="AB67" i="3" s="1"/>
  <c r="P63" i="3"/>
  <c r="R63" i="3" s="1"/>
  <c r="P62" i="3"/>
  <c r="U56" i="3"/>
  <c r="W56" i="3" s="1"/>
  <c r="Z49" i="3"/>
  <c r="AE97" i="3"/>
  <c r="P91" i="3"/>
  <c r="R91" i="3" s="1"/>
  <c r="P85" i="3"/>
  <c r="R85" i="3" s="1"/>
  <c r="U79" i="3"/>
  <c r="W79" i="3" s="1"/>
  <c r="AJ72" i="3"/>
  <c r="AL72" i="3" s="1"/>
  <c r="U67" i="3"/>
  <c r="W67" i="3" s="1"/>
  <c r="P64" i="3"/>
  <c r="Z46" i="3"/>
  <c r="AE38" i="3"/>
  <c r="Z102" i="3"/>
  <c r="AJ100" i="3"/>
  <c r="P82" i="3"/>
  <c r="U76" i="3"/>
  <c r="W76" i="3" s="1"/>
  <c r="AJ73" i="3"/>
  <c r="AL73" i="3" s="1"/>
  <c r="AE100" i="3"/>
  <c r="AG100" i="3" s="1"/>
  <c r="U97" i="3"/>
  <c r="W97" i="3" s="1"/>
  <c r="AJ87" i="3"/>
  <c r="P79" i="3"/>
  <c r="Z70" i="3"/>
  <c r="P55" i="3"/>
  <c r="U46" i="3"/>
  <c r="Z42" i="3"/>
  <c r="AJ103" i="3"/>
  <c r="AJ90" i="3"/>
  <c r="AL90" i="3" s="1"/>
  <c r="U70" i="3"/>
  <c r="W70" i="3" s="1"/>
  <c r="P67" i="3"/>
  <c r="R67" i="3" s="1"/>
  <c r="AJ63" i="3"/>
  <c r="AL63" i="3" s="1"/>
  <c r="P52" i="3"/>
  <c r="R52" i="3" s="1"/>
  <c r="U43" i="3"/>
  <c r="AE103" i="3"/>
  <c r="P102" i="3"/>
  <c r="U100" i="3"/>
  <c r="W100" i="3" s="1"/>
  <c r="P97" i="3"/>
  <c r="R97" i="3" s="1"/>
  <c r="AJ81" i="3"/>
  <c r="Z72" i="3"/>
  <c r="AB72" i="3" s="1"/>
  <c r="AJ64" i="3"/>
  <c r="AL64" i="3" s="1"/>
  <c r="AJ93" i="3"/>
  <c r="Z90" i="3"/>
  <c r="AB90" i="3" s="1"/>
  <c r="AJ88" i="3"/>
  <c r="AL88" i="3" s="1"/>
  <c r="Z87" i="3"/>
  <c r="AB87" i="3" s="1"/>
  <c r="U73" i="3"/>
  <c r="W73" i="3" s="1"/>
  <c r="AJ67" i="3"/>
  <c r="AL67" i="3" s="1"/>
  <c r="AE64" i="3"/>
  <c r="AJ57" i="3"/>
  <c r="AL57" i="3" s="1"/>
  <c r="AJ49" i="3"/>
  <c r="AL49" i="3" s="1"/>
  <c r="AE29" i="3"/>
  <c r="AG29" i="3" s="1"/>
  <c r="P24" i="3"/>
  <c r="R24" i="3" s="1"/>
  <c r="P23" i="3"/>
  <c r="R23" i="3" s="1"/>
  <c r="P19" i="3"/>
  <c r="R19" i="3" s="1"/>
  <c r="AJ15" i="3"/>
  <c r="AL15" i="3" s="1"/>
  <c r="P15" i="3"/>
  <c r="R15" i="3" s="1"/>
  <c r="Z10" i="3"/>
  <c r="AB10" i="3" s="1"/>
  <c r="Z93" i="3"/>
  <c r="U41" i="3"/>
  <c r="W41" i="3" s="1"/>
  <c r="AJ28" i="3"/>
  <c r="AL28" i="3" s="1"/>
  <c r="P5" i="3"/>
  <c r="R5" i="3" s="1"/>
  <c r="AJ53" i="3"/>
  <c r="U49" i="3"/>
  <c r="U38" i="3"/>
  <c r="AE26" i="3"/>
  <c r="AG26" i="3" s="1"/>
  <c r="AJ6" i="3"/>
  <c r="P56" i="3"/>
  <c r="Z14" i="3"/>
  <c r="AB14" i="3" s="1"/>
  <c r="AJ91" i="3"/>
  <c r="AL91" i="3" s="1"/>
  <c r="Z81" i="3"/>
  <c r="AB81" i="3" s="1"/>
  <c r="P70" i="3"/>
  <c r="R70" i="3" s="1"/>
  <c r="AJ40" i="3"/>
  <c r="Z32" i="3"/>
  <c r="AJ23" i="3"/>
  <c r="AJ19" i="3"/>
  <c r="AE7" i="3"/>
  <c r="AE5" i="3"/>
  <c r="AG5" i="3" s="1"/>
  <c r="Z7" i="3"/>
  <c r="AB7" i="3" s="1"/>
  <c r="P58" i="3"/>
  <c r="R58" i="3" s="1"/>
  <c r="Z38" i="3"/>
  <c r="AB38" i="3" s="1"/>
  <c r="AE11" i="3"/>
  <c r="AG11" i="3" s="1"/>
  <c r="AJ85" i="3"/>
  <c r="AE61" i="3"/>
  <c r="Z35" i="3"/>
  <c r="Z34" i="3"/>
  <c r="Z29" i="3"/>
  <c r="AJ24" i="3"/>
  <c r="AE15" i="3"/>
  <c r="P11" i="3"/>
  <c r="R11" i="3" s="1"/>
  <c r="Z22" i="3"/>
  <c r="AB22" i="3" s="1"/>
  <c r="U10" i="3"/>
  <c r="W10" i="3" s="1"/>
  <c r="P45" i="3"/>
  <c r="R45" i="3" s="1"/>
  <c r="AJ96" i="3"/>
  <c r="AL96" i="3" s="1"/>
  <c r="AE85" i="3"/>
  <c r="AJ75" i="3"/>
  <c r="AJ66" i="3"/>
  <c r="P57" i="3"/>
  <c r="AE40" i="3"/>
  <c r="AJ37" i="3"/>
  <c r="Z26" i="3"/>
  <c r="AB26" i="3" s="1"/>
  <c r="AE12" i="3"/>
  <c r="AG12" i="3" s="1"/>
  <c r="AE10" i="3"/>
  <c r="AG10" i="3" s="1"/>
  <c r="AE62" i="3"/>
  <c r="AG62" i="3" s="1"/>
  <c r="AJ47" i="3"/>
  <c r="AL47" i="3" s="1"/>
  <c r="P43" i="3"/>
  <c r="R43" i="3" s="1"/>
  <c r="AJ31" i="3"/>
  <c r="Z18" i="3"/>
  <c r="AB18" i="3" s="1"/>
  <c r="AE21" i="3"/>
  <c r="AG21" i="3" s="1"/>
  <c r="P7" i="3"/>
  <c r="R7" i="3" s="1"/>
  <c r="P42" i="3"/>
  <c r="R42" i="3" s="1"/>
  <c r="U32" i="3"/>
  <c r="AE23" i="3"/>
  <c r="AG23" i="3" s="1"/>
  <c r="AE19" i="3"/>
  <c r="AG19" i="3" s="1"/>
  <c r="Z5" i="3"/>
  <c r="AB5" i="3" s="1"/>
  <c r="AJ33" i="3"/>
  <c r="AL33" i="3" s="1"/>
  <c r="AE9" i="3"/>
  <c r="AG9" i="3" s="1"/>
  <c r="Z84" i="3"/>
  <c r="AB84" i="3" s="1"/>
  <c r="Z63" i="3"/>
  <c r="Z61" i="3"/>
  <c r="AJ58" i="3"/>
  <c r="AJ56" i="3"/>
  <c r="P46" i="3"/>
  <c r="AE37" i="3"/>
  <c r="AG37" i="3" s="1"/>
  <c r="U35" i="3"/>
  <c r="W35" i="3" s="1"/>
  <c r="U29" i="3"/>
  <c r="W29" i="3" s="1"/>
  <c r="Z24" i="3"/>
  <c r="AB24" i="3" s="1"/>
  <c r="Z15" i="3"/>
  <c r="AB15" i="3" s="1"/>
  <c r="AE8" i="3"/>
  <c r="AG8" i="3" s="1"/>
  <c r="AJ34" i="3"/>
  <c r="AL34" i="3" s="1"/>
  <c r="U12" i="3"/>
  <c r="AE32" i="3"/>
  <c r="AG32" i="3" s="1"/>
  <c r="AJ78" i="3"/>
  <c r="AE58" i="3"/>
  <c r="AG58" i="3" s="1"/>
  <c r="AJ54" i="3"/>
  <c r="AL54" i="3" s="1"/>
  <c r="P48" i="3"/>
  <c r="R48" i="3" s="1"/>
  <c r="AE41" i="3"/>
  <c r="AG41" i="3" s="1"/>
  <c r="Z40" i="3"/>
  <c r="AB40" i="3" s="1"/>
  <c r="P33" i="3"/>
  <c r="R33" i="3" s="1"/>
  <c r="P31" i="3"/>
  <c r="R31" i="3" s="1"/>
  <c r="U26" i="3"/>
  <c r="W26" i="3" s="1"/>
  <c r="AE14" i="3"/>
  <c r="AG14" i="3" s="1"/>
  <c r="Z12" i="3"/>
  <c r="AB12" i="3" s="1"/>
  <c r="AJ11" i="3"/>
  <c r="AL11" i="3" s="1"/>
  <c r="P9" i="3"/>
  <c r="R9" i="3" s="1"/>
  <c r="AE16" i="3"/>
  <c r="AG16" i="3" s="1"/>
  <c r="AJ5" i="3"/>
  <c r="AL5" i="3" s="1"/>
  <c r="P100" i="3"/>
  <c r="AE88" i="3"/>
  <c r="AG88" i="3" s="1"/>
  <c r="AJ52" i="3"/>
  <c r="AL52" i="3" s="1"/>
  <c r="U50" i="3"/>
  <c r="W50" i="3" s="1"/>
  <c r="Z41" i="3"/>
  <c r="AB41" i="3" s="1"/>
  <c r="P40" i="3"/>
  <c r="R40" i="3" s="1"/>
  <c r="P30" i="3"/>
  <c r="R30" i="3" s="1"/>
  <c r="P28" i="3"/>
  <c r="R28" i="3" s="1"/>
  <c r="Z23" i="3"/>
  <c r="AB23" i="3" s="1"/>
  <c r="Z19" i="3"/>
  <c r="AB19" i="3" s="1"/>
  <c r="P16" i="3"/>
  <c r="R16" i="3" s="1"/>
  <c r="U7" i="3"/>
  <c r="W7" i="3" s="1"/>
  <c r="U5" i="3"/>
  <c r="W5" i="3" s="1"/>
  <c r="Z73" i="3"/>
  <c r="AB73" i="3" s="1"/>
  <c r="AJ30" i="3"/>
  <c r="AL30" i="3" s="1"/>
  <c r="Z6" i="3"/>
  <c r="AB6" i="3" s="1"/>
  <c r="AE56" i="3"/>
  <c r="AG56" i="3" s="1"/>
  <c r="AE52" i="3"/>
  <c r="AG52" i="3" s="1"/>
  <c r="Z45" i="3"/>
  <c r="AB45" i="3" s="1"/>
  <c r="Z37" i="3"/>
  <c r="AB37" i="3" s="1"/>
  <c r="U24" i="3"/>
  <c r="AE17" i="3"/>
  <c r="AG17" i="3" s="1"/>
  <c r="U15" i="3"/>
  <c r="W15" i="3" s="1"/>
  <c r="Z8" i="3"/>
  <c r="AB8" i="3" s="1"/>
  <c r="AE13" i="3"/>
  <c r="AG13" i="3" s="1"/>
  <c r="AB46" i="3"/>
  <c r="R90" i="3"/>
  <c r="W24" i="3"/>
  <c r="AL69" i="3"/>
  <c r="AB29" i="3"/>
  <c r="W46" i="3"/>
  <c r="AG46" i="3"/>
  <c r="AB63" i="3"/>
  <c r="W71" i="3"/>
  <c r="W49" i="3"/>
  <c r="AL70" i="3"/>
  <c r="AL79" i="3"/>
  <c r="AL50" i="3"/>
  <c r="AG76" i="3"/>
  <c r="AL44" i="3"/>
  <c r="AL51" i="3"/>
  <c r="AL19" i="3"/>
  <c r="AL75" i="3"/>
  <c r="AG85" i="3"/>
  <c r="AB61" i="3"/>
  <c r="AL53" i="3"/>
  <c r="AB34" i="3"/>
  <c r="W72" i="3"/>
  <c r="AB35" i="3"/>
  <c r="R64" i="3"/>
  <c r="R100" i="3"/>
  <c r="R74" i="3"/>
  <c r="AL66" i="3"/>
  <c r="AG44" i="3"/>
  <c r="F32" i="2"/>
  <c r="W82" i="3"/>
  <c r="AL26" i="3"/>
  <c r="AL85" i="3"/>
  <c r="AL56" i="3"/>
  <c r="AJ18" i="3"/>
  <c r="AL18" i="3" s="1"/>
  <c r="AL23" i="3"/>
  <c r="AB57" i="3"/>
  <c r="AB50" i="3"/>
  <c r="R102" i="3"/>
  <c r="R41" i="3"/>
  <c r="R103" i="3"/>
  <c r="AL24" i="3"/>
  <c r="AG45" i="3"/>
  <c r="AG81" i="3"/>
  <c r="AG91" i="3"/>
  <c r="W45" i="3"/>
  <c r="W85" i="3"/>
  <c r="W12" i="3"/>
  <c r="U20" i="3"/>
  <c r="W20" i="3" s="1"/>
  <c r="U8" i="3"/>
  <c r="W8" i="3" s="1"/>
  <c r="R44" i="3"/>
  <c r="W32" i="3"/>
  <c r="W36" i="3"/>
  <c r="W69" i="3"/>
  <c r="W62" i="3"/>
  <c r="W88" i="3"/>
  <c r="AL45" i="3"/>
  <c r="P13" i="3"/>
  <c r="R13" i="3" s="1"/>
  <c r="AE50" i="3"/>
  <c r="AG50" i="3" s="1"/>
  <c r="AL87" i="3"/>
  <c r="AL62" i="3"/>
  <c r="Z16" i="3"/>
  <c r="AB16" i="3" s="1"/>
  <c r="AG102" i="3"/>
  <c r="AL81" i="3"/>
  <c r="AB49" i="3"/>
  <c r="R47" i="3"/>
  <c r="W51" i="3"/>
  <c r="AG47" i="3"/>
  <c r="AG61" i="3"/>
  <c r="AG97" i="3"/>
  <c r="W28" i="3"/>
  <c r="W81" i="3"/>
  <c r="W91" i="3"/>
  <c r="AL78" i="3"/>
  <c r="AL94" i="3"/>
  <c r="AE25" i="3"/>
  <c r="AG25" i="3" s="1"/>
  <c r="Z9" i="3"/>
  <c r="AB9" i="3" s="1"/>
  <c r="AE65" i="3"/>
  <c r="AG65" i="3" s="1"/>
  <c r="R62" i="3"/>
  <c r="AB42" i="3"/>
  <c r="R78" i="3"/>
  <c r="AG57" i="3"/>
  <c r="AL46" i="3"/>
  <c r="B32" i="2"/>
  <c r="R55" i="3"/>
  <c r="W30" i="3"/>
  <c r="AG90" i="3"/>
  <c r="AG64" i="3"/>
  <c r="W43" i="3"/>
  <c r="AE33" i="3"/>
  <c r="AG33" i="3" s="1"/>
  <c r="AB93" i="3"/>
  <c r="U40" i="3"/>
  <c r="W40" i="3" s="1"/>
  <c r="AL93" i="3"/>
  <c r="AL37" i="3"/>
  <c r="AL38" i="3"/>
  <c r="AJ21" i="3"/>
  <c r="AL21" i="3" s="1"/>
  <c r="Z13" i="3"/>
  <c r="AB13" i="3" s="1"/>
  <c r="AE71" i="3"/>
  <c r="AG71" i="3" s="1"/>
  <c r="AG38" i="3"/>
  <c r="R57" i="3"/>
  <c r="R38" i="3"/>
  <c r="AB32" i="3"/>
  <c r="AB70" i="3"/>
  <c r="AG30" i="3"/>
  <c r="R81" i="3"/>
  <c r="R79" i="3"/>
  <c r="AG15" i="3"/>
  <c r="AG40" i="3"/>
  <c r="AG103" i="3"/>
  <c r="R46" i="3"/>
  <c r="U31" i="3"/>
  <c r="W31" i="3" s="1"/>
  <c r="AL40" i="3"/>
  <c r="AL100" i="3"/>
  <c r="AL71" i="3"/>
  <c r="AB62" i="3"/>
  <c r="W38" i="3"/>
  <c r="AG28" i="3"/>
  <c r="AG7" i="3"/>
  <c r="AB102" i="3"/>
  <c r="AB82" i="3"/>
  <c r="R82" i="3"/>
  <c r="R56" i="3"/>
  <c r="AL8" i="3"/>
  <c r="U17" i="3"/>
  <c r="W17" i="3" s="1"/>
  <c r="Z51" i="3"/>
  <c r="AB51" i="3" s="1"/>
  <c r="AL6" i="3"/>
  <c r="AG70" i="3"/>
  <c r="P36" i="3"/>
  <c r="R36" i="3" s="1"/>
  <c r="U44" i="3"/>
  <c r="W44" i="3" s="1"/>
  <c r="R72" i="3"/>
  <c r="P21" i="3"/>
  <c r="R21" i="3" s="1"/>
  <c r="AJ95" i="3"/>
  <c r="AL95" i="3" s="1"/>
  <c r="W57" i="3"/>
  <c r="W64" i="3"/>
  <c r="AJ29" i="3"/>
  <c r="AL29" i="3" s="1"/>
  <c r="W74" i="3"/>
  <c r="AL31" i="3"/>
  <c r="AL58" i="3"/>
  <c r="AL43" i="3"/>
  <c r="AL103" i="3"/>
  <c r="AL74" i="3"/>
  <c r="AJ10" i="3"/>
  <c r="AL10" i="3" s="1"/>
  <c r="AJ12" i="3"/>
  <c r="AL12" i="3" s="1"/>
  <c r="AJ22" i="3"/>
  <c r="AL22" i="3" s="1"/>
  <c r="Z103" i="3" l="1"/>
  <c r="AB103" i="3" s="1"/>
  <c r="P60" i="3"/>
  <c r="R60" i="3" s="1"/>
  <c r="P92" i="3"/>
  <c r="R92" i="3" s="1"/>
  <c r="U54" i="3"/>
  <c r="W54" i="3" s="1"/>
  <c r="P54" i="3"/>
  <c r="R54" i="3" s="1"/>
  <c r="P104" i="3"/>
  <c r="R104" i="3" s="1"/>
  <c r="Z101" i="3"/>
  <c r="AB101" i="3" s="1"/>
  <c r="AE42" i="3"/>
  <c r="AG42" i="3" s="1"/>
  <c r="Z77" i="3"/>
  <c r="AB77" i="3" s="1"/>
  <c r="AJ39" i="3"/>
  <c r="AL39" i="3" s="1"/>
  <c r="AE92" i="3"/>
  <c r="AG92" i="3" s="1"/>
  <c r="U101" i="3"/>
  <c r="W101" i="3" s="1"/>
  <c r="Z75" i="3"/>
  <c r="AB75" i="3" s="1"/>
  <c r="AE31" i="3"/>
  <c r="AG31" i="3" s="1"/>
  <c r="AJ101" i="3"/>
  <c r="AL101" i="3" s="1"/>
  <c r="P77" i="3"/>
  <c r="R77" i="3" s="1"/>
  <c r="AE66" i="3"/>
  <c r="AG66" i="3" s="1"/>
  <c r="AE84" i="3"/>
  <c r="AG84" i="3" s="1"/>
  <c r="U18" i="3"/>
  <c r="W18" i="3" s="1"/>
  <c r="U68" i="3"/>
  <c r="W68" i="3" s="1"/>
  <c r="P87" i="3"/>
  <c r="R87" i="3" s="1"/>
  <c r="Z54" i="3"/>
  <c r="AB54" i="3" s="1"/>
  <c r="AE93" i="3"/>
  <c r="AG93" i="3" s="1"/>
  <c r="AE27" i="3"/>
  <c r="AG27" i="3" s="1"/>
  <c r="U95" i="3"/>
  <c r="W95" i="3" s="1"/>
  <c r="U25" i="3"/>
  <c r="W25" i="3" s="1"/>
  <c r="P95" i="3"/>
  <c r="R95" i="3" s="1"/>
  <c r="AE22" i="3"/>
  <c r="AG22" i="3" s="1"/>
  <c r="U9" i="3"/>
  <c r="W9" i="3" s="1"/>
  <c r="AJ60" i="3"/>
  <c r="AL60" i="3" s="1"/>
  <c r="AE54" i="3"/>
  <c r="AG54" i="3" s="1"/>
  <c r="AE104" i="3"/>
  <c r="AG104" i="3" s="1"/>
  <c r="AE53" i="3"/>
  <c r="AG53" i="3" s="1"/>
  <c r="Z17" i="3"/>
  <c r="AB17" i="3" s="1"/>
  <c r="U84" i="3"/>
  <c r="W84" i="3" s="1"/>
  <c r="Z68" i="3"/>
  <c r="AB68" i="3" s="1"/>
  <c r="P101" i="3"/>
  <c r="R101" i="3" s="1"/>
  <c r="AE63" i="3"/>
  <c r="AG63" i="3" s="1"/>
  <c r="U75" i="3"/>
  <c r="W75" i="3" s="1"/>
  <c r="U23" i="3"/>
  <c r="W23" i="3" s="1"/>
  <c r="AE98" i="3"/>
  <c r="AG98" i="3" s="1"/>
  <c r="U21" i="3"/>
  <c r="W21" i="3" s="1"/>
  <c r="AJ32" i="3"/>
  <c r="AL32" i="3" s="1"/>
  <c r="AE95" i="3"/>
  <c r="AG95" i="3" s="1"/>
  <c r="U27" i="3"/>
  <c r="W27" i="3" s="1"/>
  <c r="AJ48" i="3"/>
  <c r="AL48" i="3" s="1"/>
  <c r="U11" i="3"/>
  <c r="W11" i="3" s="1"/>
  <c r="P12" i="3"/>
  <c r="R12" i="3" s="1"/>
  <c r="AJ77" i="3"/>
  <c r="AL77" i="3" s="1"/>
  <c r="U66" i="3"/>
  <c r="W66" i="3" s="1"/>
  <c r="U53" i="3"/>
  <c r="W53" i="3" s="1"/>
  <c r="P84" i="3"/>
  <c r="R84" i="3" s="1"/>
  <c r="U87" i="3"/>
  <c r="W87" i="3" s="1"/>
  <c r="P68" i="3"/>
  <c r="R68" i="3" s="1"/>
  <c r="U83" i="3"/>
  <c r="W83" i="3" s="1"/>
  <c r="P32" i="3"/>
  <c r="R32" i="3" s="1"/>
  <c r="AE86" i="3"/>
  <c r="AG86" i="3" s="1"/>
  <c r="U93" i="3"/>
  <c r="W93" i="3" s="1"/>
  <c r="AJ35" i="3"/>
  <c r="AL35" i="3" s="1"/>
  <c r="U34" i="3"/>
  <c r="W34" i="3" s="1"/>
  <c r="AE20" i="3"/>
  <c r="AG20" i="3" s="1"/>
  <c r="Z59" i="3"/>
  <c r="AB59" i="3" s="1"/>
  <c r="Z31" i="3"/>
  <c r="AB31" i="3" s="1"/>
  <c r="U77" i="3"/>
  <c r="W77" i="3" s="1"/>
  <c r="Z89" i="3"/>
  <c r="AB89" i="3" s="1"/>
  <c r="P75" i="3"/>
  <c r="R75" i="3" s="1"/>
  <c r="U98" i="3"/>
  <c r="W98" i="3" s="1"/>
  <c r="Z95" i="3"/>
  <c r="AB95" i="3" s="1"/>
  <c r="P22" i="3"/>
  <c r="R22" i="3" s="1"/>
  <c r="Z53" i="3"/>
  <c r="AB53" i="3" s="1"/>
  <c r="P39" i="3"/>
  <c r="R39" i="3" s="1"/>
  <c r="U59" i="3"/>
  <c r="W59" i="3" s="1"/>
  <c r="P14" i="3"/>
  <c r="R14" i="3" s="1"/>
  <c r="Z21" i="3"/>
  <c r="AB21" i="3" s="1"/>
  <c r="Z65" i="3"/>
  <c r="AB65" i="3" s="1"/>
  <c r="AE77" i="3"/>
  <c r="AG77" i="3" s="1"/>
  <c r="AJ20" i="3"/>
  <c r="AL20" i="3" s="1"/>
  <c r="AJ68" i="3"/>
  <c r="AL68" i="3" s="1"/>
  <c r="U86" i="3"/>
  <c r="W86" i="3" s="1"/>
  <c r="P66" i="3"/>
  <c r="R66" i="3" s="1"/>
  <c r="U63" i="3"/>
  <c r="W63" i="3" s="1"/>
  <c r="AE101" i="3"/>
  <c r="AG101" i="3" s="1"/>
  <c r="AE87" i="3"/>
  <c r="AG87" i="3" s="1"/>
  <c r="Z78" i="3"/>
  <c r="AB78" i="3" s="1"/>
  <c r="AJ83" i="3"/>
  <c r="AL83" i="3" s="1"/>
  <c r="Z98" i="3"/>
  <c r="AB98" i="3" s="1"/>
  <c r="AE68" i="3"/>
  <c r="AG68" i="3" s="1"/>
  <c r="U99" i="3"/>
  <c r="W99" i="3" s="1"/>
  <c r="Z25" i="3"/>
  <c r="AB25" i="3" s="1"/>
  <c r="AJ25" i="3"/>
  <c r="AL25" i="3" s="1"/>
  <c r="AJ13" i="3"/>
  <c r="AL13" i="3" s="1"/>
  <c r="U48" i="3"/>
  <c r="W48" i="3" s="1"/>
  <c r="AE39" i="3"/>
  <c r="AG39" i="3" s="1"/>
  <c r="AJ42" i="3"/>
  <c r="AL42" i="3" s="1"/>
  <c r="P59" i="3"/>
  <c r="R59" i="3" s="1"/>
  <c r="AJ14" i="3"/>
  <c r="AL14" i="3" s="1"/>
  <c r="Z80" i="3"/>
  <c r="AB80" i="3" s="1"/>
  <c r="AE59" i="3"/>
  <c r="AG59" i="3" s="1"/>
  <c r="AJ65" i="3"/>
  <c r="AL65" i="3" s="1"/>
  <c r="Z83" i="3"/>
  <c r="AB83" i="3" s="1"/>
  <c r="U104" i="3"/>
  <c r="W104" i="3" s="1"/>
  <c r="P53" i="3"/>
  <c r="R53" i="3" s="1"/>
  <c r="AE48" i="3"/>
  <c r="AG48" i="3" s="1"/>
  <c r="Z39" i="3"/>
  <c r="AB39" i="3" s="1"/>
  <c r="U13" i="3"/>
  <c r="W13" i="3" s="1"/>
  <c r="AJ59" i="3"/>
  <c r="AL59" i="3" s="1"/>
  <c r="AJ80" i="3"/>
  <c r="AL80" i="3" s="1"/>
  <c r="P65" i="3"/>
  <c r="R65" i="3" s="1"/>
  <c r="U89" i="3"/>
  <c r="W89" i="3" s="1"/>
  <c r="AE60" i="3"/>
  <c r="AG60" i="3" s="1"/>
  <c r="U37" i="3"/>
  <c r="W37" i="3" s="1"/>
  <c r="Z48" i="3"/>
  <c r="AB48" i="3" s="1"/>
  <c r="U39" i="3"/>
  <c r="W39" i="3" s="1"/>
  <c r="P18" i="3"/>
  <c r="R18" i="3" s="1"/>
  <c r="P80" i="3"/>
  <c r="R80" i="3" s="1"/>
  <c r="Z27" i="3"/>
  <c r="AB27" i="3" s="1"/>
  <c r="U65" i="3"/>
  <c r="W65" i="3" s="1"/>
  <c r="P83" i="3"/>
  <c r="R83" i="3" s="1"/>
  <c r="Z86" i="3"/>
  <c r="AB86" i="3" s="1"/>
  <c r="AJ89" i="3"/>
  <c r="AL89" i="3" s="1"/>
  <c r="AE75" i="3"/>
  <c r="AG75" i="3" s="1"/>
  <c r="U78" i="3"/>
  <c r="W78" i="3" s="1"/>
  <c r="Z66" i="3"/>
  <c r="AB66" i="3" s="1"/>
  <c r="P35" i="3"/>
  <c r="R35" i="3" s="1"/>
  <c r="AJ98" i="3"/>
  <c r="AL98" i="3" s="1"/>
  <c r="AJ92" i="3"/>
  <c r="AL92" i="3" s="1"/>
  <c r="U14" i="3"/>
  <c r="W14" i="3" s="1"/>
  <c r="Z11" i="3"/>
  <c r="AB11" i="3" s="1"/>
  <c r="AJ17" i="3"/>
  <c r="AL17" i="3" s="1"/>
  <c r="AE80" i="3"/>
  <c r="AG80" i="3" s="1"/>
  <c r="AJ27" i="3"/>
  <c r="AL27" i="3" s="1"/>
  <c r="AE83" i="3"/>
  <c r="AG83" i="3" s="1"/>
  <c r="AJ86" i="3"/>
  <c r="AL86" i="3" s="1"/>
  <c r="P89" i="3"/>
  <c r="R89" i="3" s="1"/>
  <c r="U96" i="3"/>
  <c r="W96" i="3" s="1"/>
  <c r="AE78" i="3"/>
  <c r="AG78" i="3" s="1"/>
  <c r="AE96" i="3"/>
  <c r="AG96" i="3" s="1"/>
  <c r="AE18" i="3"/>
  <c r="AG18" i="3" s="1"/>
  <c r="U92" i="3"/>
  <c r="W92" i="3" s="1"/>
  <c r="Z60" i="3"/>
  <c r="AB60" i="3" s="1"/>
  <c r="U42" i="3"/>
  <c r="W42" i="3" s="1"/>
  <c r="U6" i="3"/>
  <c r="W6" i="3" s="1"/>
  <c r="P27" i="3"/>
  <c r="R27" i="3" s="1"/>
  <c r="P17" i="3"/>
  <c r="R17" i="3" s="1"/>
  <c r="Z20" i="3"/>
  <c r="AB20" i="3" s="1"/>
  <c r="U80" i="3"/>
  <c r="W80" i="3" s="1"/>
  <c r="P20" i="3"/>
  <c r="R20" i="3" s="1"/>
  <c r="U22" i="3"/>
  <c r="W22" i="3" s="1"/>
  <c r="U60" i="3"/>
  <c r="W60" i="3" s="1"/>
  <c r="Z92" i="3"/>
  <c r="AB92" i="3" s="1"/>
  <c r="P86" i="3"/>
  <c r="R86" i="3" s="1"/>
  <c r="AE89" i="3"/>
  <c r="AG89" i="3" s="1"/>
  <c r="Z104" i="3"/>
  <c r="AB104" i="3" s="1"/>
  <c r="P98" i="3"/>
  <c r="R98" i="3" s="1"/>
  <c r="AE99" i="3"/>
  <c r="AG99" i="3" s="1"/>
  <c r="P25" i="3"/>
  <c r="R25" i="3" s="1"/>
  <c r="AJ104" i="3"/>
  <c r="AL104" i="3" s="1"/>
  <c r="U94" i="3"/>
  <c r="W94" i="3" s="1"/>
  <c r="P88" i="3"/>
  <c r="R88" i="3" s="1"/>
  <c r="P93" i="3"/>
  <c r="R93" i="3" s="1"/>
  <c r="Z96" i="3"/>
  <c r="AB96" i="3" s="1"/>
  <c r="Z76" i="3"/>
  <c r="AB76" i="3" s="1"/>
  <c r="AJ61" i="3"/>
  <c r="AL61" i="3" s="1"/>
  <c r="AE73" i="3"/>
  <c r="AG73" i="3" s="1"/>
  <c r="AE35" i="3"/>
  <c r="AG35" i="3" s="1"/>
  <c r="P96" i="3"/>
  <c r="R96" i="3" s="1"/>
  <c r="AE94" i="3"/>
  <c r="AG94" i="3" s="1"/>
  <c r="AJ99" i="3"/>
  <c r="AL99" i="3" s="1"/>
  <c r="Z79" i="3"/>
  <c r="AB79" i="3" s="1"/>
  <c r="AE49" i="3"/>
  <c r="AG49" i="3" s="1"/>
  <c r="P94" i="3"/>
  <c r="R94" i="3" s="1"/>
  <c r="U52" i="3"/>
  <c r="W52" i="3" s="1"/>
  <c r="U55" i="3"/>
  <c r="W55" i="3" s="1"/>
  <c r="AE24" i="3"/>
  <c r="AG24" i="3" s="1"/>
  <c r="Z55" i="3"/>
  <c r="AB55" i="3" s="1"/>
  <c r="Z58" i="3"/>
  <c r="AB58" i="3" s="1"/>
  <c r="Z88" i="3"/>
  <c r="AB88" i="3" s="1"/>
  <c r="S27" i="1"/>
  <c r="L26" i="1"/>
  <c r="AJ7" i="3"/>
  <c r="AL7" i="3" s="1"/>
  <c r="AL105" i="3" s="1"/>
  <c r="D23" i="3" s="1"/>
  <c r="P49" i="3"/>
  <c r="R49" i="3" s="1"/>
  <c r="AJ55" i="3"/>
  <c r="AL55" i="3" s="1"/>
  <c r="P76" i="3"/>
  <c r="R76" i="3" s="1"/>
  <c r="P61" i="3"/>
  <c r="R61" i="3" s="1"/>
  <c r="AE43" i="3"/>
  <c r="AG43" i="3" s="1"/>
  <c r="U61" i="3"/>
  <c r="W61" i="3" s="1"/>
  <c r="AE6" i="3"/>
  <c r="AG6" i="3" s="1"/>
  <c r="P34" i="3"/>
  <c r="R34" i="3" s="1"/>
  <c r="P6" i="3"/>
  <c r="R6" i="3" s="1"/>
  <c r="AJ9" i="3"/>
  <c r="AL9" i="3" s="1"/>
  <c r="P37" i="3"/>
  <c r="R37" i="3" s="1"/>
  <c r="AJ82" i="3"/>
  <c r="AL82" i="3" s="1"/>
  <c r="AE55" i="3"/>
  <c r="AG55" i="3" s="1"/>
  <c r="U103" i="3"/>
  <c r="W103" i="3" s="1"/>
  <c r="AE34" i="3"/>
  <c r="AG34" i="3" s="1"/>
  <c r="AJ84" i="3"/>
  <c r="AL84" i="3" s="1"/>
  <c r="P99" i="3"/>
  <c r="R99" i="3" s="1"/>
  <c r="Z52" i="3"/>
  <c r="AB52" i="3" s="1"/>
  <c r="AE67" i="3"/>
  <c r="AG67" i="3" s="1"/>
  <c r="Z94" i="3"/>
  <c r="AB94" i="3" s="1"/>
  <c r="W105" i="3" l="1"/>
  <c r="D20" i="3" s="1"/>
  <c r="AB105" i="3"/>
  <c r="D21" i="3" s="1"/>
  <c r="AG105" i="3"/>
  <c r="D22" i="3" s="1"/>
  <c r="R105" i="3"/>
  <c r="D19" i="3" s="1"/>
  <c r="S28" i="1"/>
  <c r="L27" i="1"/>
  <c r="E25" i="3" l="1"/>
  <c r="E26" i="3" s="1"/>
  <c r="L28" i="1"/>
  <c r="S29" i="1"/>
  <c r="S30" i="1" l="1"/>
  <c r="L29" i="1"/>
  <c r="L30" i="1" l="1"/>
  <c r="S31" i="1"/>
  <c r="S32" i="1" l="1"/>
  <c r="L31" i="1"/>
  <c r="L32" i="1" l="1"/>
  <c r="S33" i="1"/>
  <c r="L33" i="1" l="1"/>
  <c r="S34" i="1"/>
  <c r="L34" i="1" s="1"/>
  <c r="L35" i="1" s="1"/>
</calcChain>
</file>

<file path=xl/sharedStrings.xml><?xml version="1.0" encoding="utf-8"?>
<sst xmlns="http://schemas.openxmlformats.org/spreadsheetml/2006/main" count="171" uniqueCount="103">
  <si>
    <t>Zeke’s Hardware Store sells furnace filters. The cost to place an order to the distributor is $27 and the annual cost to hold a filter in stock is $4. The average demand per week for the filters is 30 units, and the store operates 45 weeks per year. The weekly demand for filters has the probability distribution shown on the left below. The delivery lead time from the distributor is uncertain and has the probability distribution shown on the right below. Suppose Zeke wants to use a P system with P = 5 weeks and a cycle-service level of 95 percent. What is the appropriate value for T and the associated annual cost of the system?</t>
  </si>
  <si>
    <t>Lower Range Probability</t>
  </si>
  <si>
    <t>Demand</t>
  </si>
  <si>
    <t>Protection Interval(P+LT)</t>
  </si>
  <si>
    <t>Random Numbers (Demand per period in protection interval)</t>
  </si>
  <si>
    <t>Simulation (Demand per period in protection interval)</t>
  </si>
  <si>
    <t>No.</t>
  </si>
  <si>
    <t>Lead Time</t>
  </si>
  <si>
    <t xml:space="preserve">Period 1 </t>
  </si>
  <si>
    <t>Period 2</t>
  </si>
  <si>
    <t>Period 3</t>
  </si>
  <si>
    <t>Period 4</t>
  </si>
  <si>
    <t>Period 5</t>
  </si>
  <si>
    <t>Period 6</t>
  </si>
  <si>
    <t>Period 7</t>
  </si>
  <si>
    <t>Period 8</t>
  </si>
  <si>
    <t>Period 9</t>
  </si>
  <si>
    <t>Period 10</t>
  </si>
  <si>
    <t>Period 11</t>
  </si>
  <si>
    <t>Period 12</t>
  </si>
  <si>
    <t>Inventory Cycle</t>
  </si>
  <si>
    <t>Protection Interval(# Periods)</t>
  </si>
  <si>
    <t>Period1</t>
  </si>
  <si>
    <t>Period2</t>
  </si>
  <si>
    <t>Period3</t>
  </si>
  <si>
    <t>Period4</t>
  </si>
  <si>
    <t>Period5</t>
  </si>
  <si>
    <t>Period6</t>
  </si>
  <si>
    <t>Period7</t>
  </si>
  <si>
    <t>Period8</t>
  </si>
  <si>
    <t>Period9</t>
  </si>
  <si>
    <t>Period10</t>
  </si>
  <si>
    <t>Period11</t>
  </si>
  <si>
    <t>Period12</t>
  </si>
  <si>
    <t>Total during protection interval</t>
  </si>
  <si>
    <t>Probability</t>
  </si>
  <si>
    <t>Lead Time(wks)</t>
  </si>
  <si>
    <t>Lower Bound</t>
  </si>
  <si>
    <t>min(demand)*min(Protection Interval)</t>
  </si>
  <si>
    <t>Upper Bound</t>
  </si>
  <si>
    <t>Max(demand)*Max(Protection Interval)</t>
  </si>
  <si>
    <t>Range</t>
  </si>
  <si>
    <t>Upper Bound - Lower Bound</t>
  </si>
  <si>
    <t>Bins</t>
  </si>
  <si>
    <t>(Parameters)</t>
  </si>
  <si>
    <t>Bin Range</t>
  </si>
  <si>
    <r>
      <rPr>
        <sz val="12"/>
        <color theme="1"/>
        <rFont val="Times New Roman"/>
        <family val="1"/>
        <charset val="1"/>
      </rPr>
      <t>Range/Bins (</t>
    </r>
    <r>
      <rPr>
        <sz val="12"/>
        <color theme="1"/>
        <rFont val="Noto Sans CJK SC"/>
        <family val="2"/>
      </rPr>
      <t>無條件進位</t>
    </r>
    <r>
      <rPr>
        <sz val="12"/>
        <color theme="1"/>
        <rFont val="Times New Roman"/>
        <family val="1"/>
        <charset val="1"/>
      </rPr>
      <t>)</t>
    </r>
  </si>
  <si>
    <t>The cost to place an order to the distributor</t>
  </si>
  <si>
    <t xml:space="preserve">The annual cost to hold a filter in stock </t>
  </si>
  <si>
    <t>Frequency</t>
  </si>
  <si>
    <t>Cumulative Percentage</t>
  </si>
  <si>
    <t>The average demand per week for the filter</t>
  </si>
  <si>
    <t>units</t>
  </si>
  <si>
    <t>The store operates</t>
  </si>
  <si>
    <t>weeks</t>
  </si>
  <si>
    <t xml:space="preserve">Use a P system with P = </t>
  </si>
  <si>
    <t>Cycle-service level of</t>
  </si>
  <si>
    <t xml:space="preserve">T = </t>
  </si>
  <si>
    <t xml:space="preserve">Avg. Demand During Protection Interval = </t>
  </si>
  <si>
    <t xml:space="preserve">The Safety Stock = </t>
  </si>
  <si>
    <t xml:space="preserve">C = </t>
  </si>
  <si>
    <t>Total</t>
  </si>
  <si>
    <t xml:space="preserve">Average Demand During Protection Interval = </t>
  </si>
  <si>
    <t>Zeke’s Hardware Store sells furnace filters. The cost to place an order to the distributor is $27 and the annual cost to hold a filter in stock is $4. The average demand per week for the filters is 27 units, and the store operates 45 weeks per year. The weekly demand for filters has the probability distribution shown on the left below. The delivery lead time from the distributor is uncertain and has the probability distribution shown on the right below. Suppose Zeke wants to use a Q system for the filters, with an order quantity of 135. Initial inventory is 180 units. If the stockout cost is $7 per unit, what is the expected cost per week of using the Q system? Remember to estimate a reorder point using the formulae shown in PPT materials.</t>
  </si>
  <si>
    <t>Random Numbers (Demand and Lead Time)</t>
  </si>
  <si>
    <t>Simulation Result</t>
  </si>
  <si>
    <t>Lead Time(LT)</t>
  </si>
  <si>
    <t>Week</t>
  </si>
  <si>
    <t>Beginning Inventory</t>
  </si>
  <si>
    <t>Simulated Demand</t>
  </si>
  <si>
    <t>Ending Inventory</t>
  </si>
  <si>
    <t>Stockout Units</t>
  </si>
  <si>
    <t>Place Order?</t>
  </si>
  <si>
    <t>Simulated Lead Time</t>
  </si>
  <si>
    <t>Days to Receive Order</t>
  </si>
  <si>
    <t>Holding Cost</t>
  </si>
  <si>
    <t>Ordering Cost</t>
  </si>
  <si>
    <t>Stockout Cost</t>
  </si>
  <si>
    <t>Total Cost</t>
  </si>
  <si>
    <t>Weekly Demand</t>
  </si>
  <si>
    <t>Average</t>
  </si>
  <si>
    <t>Variance</t>
  </si>
  <si>
    <t>Stockout Cost ($/unit)</t>
  </si>
  <si>
    <t xml:space="preserve">Expected cost = </t>
  </si>
  <si>
    <t>Order Size</t>
  </si>
  <si>
    <t>Reorder Point</t>
  </si>
  <si>
    <t>Reorder??</t>
  </si>
  <si>
    <t>Deviation</t>
  </si>
  <si>
    <t>Averages</t>
  </si>
  <si>
    <t>A newsboy can earn $12 by selling a newspaper, but he may lose $8 if he orders more newspapers than needed: determine the optimal order quantity given the following information (uncertain demand)</t>
  </si>
  <si>
    <t>Random value (For Demand)</t>
  </si>
  <si>
    <t>Q =</t>
  </si>
  <si>
    <t>Simulation (100 times)</t>
  </si>
  <si>
    <t>random</t>
  </si>
  <si>
    <t>Day</t>
  </si>
  <si>
    <t>Order Quantity</t>
  </si>
  <si>
    <t>Daily Profit</t>
  </si>
  <si>
    <t xml:space="preserve">Marginal Profit = </t>
  </si>
  <si>
    <t xml:space="preserve">Marginal Loss = </t>
  </si>
  <si>
    <t>Avg. Profit</t>
  </si>
  <si>
    <t xml:space="preserve"> </t>
  </si>
  <si>
    <t xml:space="preserve">Greatest Expected Payoff = </t>
  </si>
  <si>
    <t xml:space="preserve">Order Quantity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</si>
</sst>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0"/>
    <numFmt numFmtId="177" formatCode="_(\$* #,##0.00_);_(\$* \(#,##0.00\);_(\$* \-??_);_(@_)"/>
    <numFmt numFmtId="178" formatCode="_-\$* #,##0.00_-;&quot;-$&quot;* #,##0.00_-;_-\$* \-??_-;_-@_-"/>
    <numFmt numFmtId="179" formatCode="0.0%"/>
    <numFmt numFmtId="180" formatCode="0.0000_);[Red]\(0.0000\)"/>
    <numFmt numFmtId="181" formatCode="0.00_);[Red]\(0.00\)"/>
    <numFmt numFmtId="182" formatCode="_(\$* #,##0_);_(\$* \(#,##0\);_(\$* \-??_);_(@_)"/>
    <numFmt numFmtId="183" formatCode="\$#,##0.00"/>
    <numFmt numFmtId="184" formatCode="0.0"/>
  </numFmts>
  <fonts count="14">
    <font>
      <sz val="11"/>
      <color theme="1"/>
      <name val="新細明體"/>
      <family val="2"/>
      <charset val="1"/>
    </font>
    <font>
      <sz val="12"/>
      <color theme="1"/>
      <name val="Times New Roman"/>
      <family val="1"/>
      <charset val="1"/>
    </font>
    <font>
      <sz val="12"/>
      <color rgb="FF1D2129"/>
      <name val="Times New Roman"/>
      <family val="1"/>
      <charset val="1"/>
    </font>
    <font>
      <sz val="12"/>
      <color theme="1"/>
      <name val="Noto Sans CJK SC"/>
      <family val="2"/>
    </font>
    <font>
      <sz val="12"/>
      <color theme="0" tint="-4.9989318521683403E-2"/>
      <name val="Times New Roman"/>
      <family val="1"/>
      <charset val="1"/>
    </font>
    <font>
      <b/>
      <sz val="12"/>
      <color rgb="FFFF0000"/>
      <name val="Times New Roman"/>
      <family val="1"/>
      <charset val="1"/>
    </font>
    <font>
      <u/>
      <sz val="12"/>
      <color theme="10"/>
      <name val="新細明體"/>
      <family val="2"/>
      <charset val="1"/>
    </font>
    <font>
      <u/>
      <sz val="12"/>
      <color theme="10"/>
      <name val="Times New Roman"/>
      <family val="1"/>
      <charset val="1"/>
    </font>
    <font>
      <sz val="12"/>
      <name val="Times New Roman"/>
      <family val="1"/>
      <charset val="1"/>
    </font>
    <font>
      <sz val="12"/>
      <color theme="0" tint="-0.14999847407452621"/>
      <name val="Times New Roman"/>
      <family val="1"/>
      <charset val="1"/>
    </font>
    <font>
      <b/>
      <sz val="12"/>
      <name val="Times New Roman"/>
      <family val="1"/>
      <charset val="1"/>
    </font>
    <font>
      <sz val="12"/>
      <name val="Times New Roman"/>
      <family val="1"/>
    </font>
    <font>
      <sz val="11"/>
      <color theme="1"/>
      <name val="新細明體"/>
      <family val="2"/>
      <charset val="1"/>
    </font>
    <font>
      <sz val="9"/>
      <name val="細明體"/>
      <family val="3"/>
      <charset val="136"/>
    </font>
  </fonts>
  <fills count="11">
    <fill>
      <patternFill patternType="none"/>
    </fill>
    <fill>
      <patternFill patternType="gray125"/>
    </fill>
    <fill>
      <patternFill patternType="solid">
        <fgColor theme="6" tint="0.39988402966399123"/>
        <bgColor rgb="FFD0CECE"/>
      </patternFill>
    </fill>
    <fill>
      <patternFill patternType="solid">
        <fgColor theme="9" tint="0.79989013336588644"/>
        <bgColor rgb="FFF2F2F2"/>
      </patternFill>
    </fill>
    <fill>
      <patternFill patternType="solid">
        <fgColor theme="5" tint="0.79989013336588644"/>
        <bgColor rgb="FFFFF2CC"/>
      </patternFill>
    </fill>
    <fill>
      <patternFill patternType="solid">
        <fgColor theme="0" tint="-0.249977111117893"/>
        <bgColor rgb="FFC0C0C0"/>
      </patternFill>
    </fill>
    <fill>
      <patternFill patternType="solid">
        <fgColor rgb="FFC0C0C0"/>
        <bgColor rgb="FFBFBFBF"/>
      </patternFill>
    </fill>
    <fill>
      <patternFill patternType="solid">
        <fgColor theme="7" tint="0.79989013336588644"/>
        <bgColor rgb="FFFBE5D6"/>
      </patternFill>
    </fill>
    <fill>
      <patternFill patternType="solid">
        <fgColor rgb="FFFFFF00"/>
        <bgColor rgb="FFFFFF00"/>
      </patternFill>
    </fill>
    <fill>
      <patternFill patternType="solid">
        <fgColor theme="6" tint="0.59987182226020086"/>
        <bgColor rgb="FFD9D9D9"/>
      </patternFill>
    </fill>
    <fill>
      <patternFill patternType="solid">
        <fgColor theme="2" tint="-9.9978637043366805E-2"/>
        <bgColor rgb="FFC9C9C9"/>
      </patternFill>
    </fill>
  </fills>
  <borders count="2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double">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dashed">
        <color auto="1"/>
      </bottom>
      <diagonal/>
    </border>
    <border>
      <left/>
      <right/>
      <top style="dashed">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double">
        <color auto="1"/>
      </bottom>
      <diagonal/>
    </border>
    <border>
      <left style="thin">
        <color auto="1"/>
      </left>
      <right/>
      <top/>
      <bottom style="double">
        <color auto="1"/>
      </bottom>
      <diagonal/>
    </border>
    <border>
      <left/>
      <right style="thin">
        <color auto="1"/>
      </right>
      <top/>
      <bottom style="double">
        <color auto="1"/>
      </bottom>
      <diagonal/>
    </border>
    <border>
      <left/>
      <right/>
      <top/>
      <bottom style="double">
        <color auto="1"/>
      </bottom>
      <diagonal/>
    </border>
  </borders>
  <cellStyleXfs count="4">
    <xf numFmtId="0" fontId="0" fillId="0" borderId="0"/>
    <xf numFmtId="177" fontId="12" fillId="0" borderId="0">
      <alignment vertical="center"/>
    </xf>
    <xf numFmtId="9" fontId="12" fillId="0" borderId="0">
      <alignment vertical="center"/>
    </xf>
    <xf numFmtId="0" fontId="6" fillId="0" borderId="0"/>
  </cellStyleXfs>
  <cellXfs count="191">
    <xf numFmtId="0" fontId="0" fillId="0" borderId="0" xfId="0"/>
    <xf numFmtId="0" fontId="1" fillId="4" borderId="1" xfId="0" applyFont="1" applyFill="1" applyBorder="1" applyAlignment="1">
      <alignment horizontal="center" vertical="center"/>
    </xf>
    <xf numFmtId="0" fontId="1" fillId="0" borderId="9" xfId="0" applyFont="1" applyBorder="1" applyAlignment="1">
      <alignment horizontal="center" vertical="center"/>
    </xf>
    <xf numFmtId="0" fontId="1" fillId="0" borderId="13" xfId="0" applyFont="1" applyBorder="1" applyAlignment="1">
      <alignment horizontal="center" vertical="center" wrapText="1"/>
    </xf>
    <xf numFmtId="0" fontId="1" fillId="4" borderId="12" xfId="0" applyFont="1" applyFill="1" applyBorder="1" applyAlignment="1">
      <alignment horizontal="center" vertical="center"/>
    </xf>
    <xf numFmtId="0" fontId="1" fillId="0" borderId="5" xfId="0" applyFont="1" applyBorder="1" applyAlignment="1">
      <alignment horizontal="center" vertical="center"/>
    </xf>
    <xf numFmtId="0" fontId="1" fillId="3" borderId="4" xfId="0" applyFont="1" applyFill="1" applyBorder="1" applyAlignment="1">
      <alignment horizontal="center" vertical="center" wrapText="1"/>
    </xf>
    <xf numFmtId="0" fontId="1" fillId="0" borderId="11" xfId="0" applyFont="1" applyBorder="1" applyAlignment="1">
      <alignment horizontal="center" vertical="center"/>
    </xf>
    <xf numFmtId="0" fontId="1" fillId="0" borderId="3" xfId="0" applyFont="1" applyBorder="1" applyAlignment="1">
      <alignment horizontal="center" vertical="center"/>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0" borderId="3" xfId="0" applyFont="1" applyBorder="1" applyAlignment="1">
      <alignment horizontal="center" vertical="center" wrapText="1"/>
    </xf>
    <xf numFmtId="0" fontId="2" fillId="3" borderId="2"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2" borderId="0" xfId="0" applyFont="1" applyFill="1"/>
    <xf numFmtId="0" fontId="1" fillId="2" borderId="1" xfId="0" applyFont="1" applyFill="1" applyBorder="1"/>
    <xf numFmtId="0" fontId="1" fillId="0" borderId="0" xfId="0" applyFont="1" applyAlignment="1">
      <alignment vertical="center"/>
    </xf>
    <xf numFmtId="0" fontId="1" fillId="0" borderId="0" xfId="0" applyFont="1" applyAlignment="1">
      <alignment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wrapText="1"/>
    </xf>
    <xf numFmtId="0" fontId="1" fillId="5" borderId="2" xfId="0" applyFont="1" applyFill="1" applyBorder="1" applyAlignment="1">
      <alignment horizontal="center"/>
    </xf>
    <xf numFmtId="0" fontId="1" fillId="5" borderId="2" xfId="0" applyFont="1" applyFill="1" applyBorder="1" applyAlignment="1">
      <alignment horizontal="center" vertical="center"/>
    </xf>
    <xf numFmtId="0" fontId="1" fillId="0" borderId="6" xfId="0" applyFont="1" applyBorder="1" applyAlignment="1">
      <alignment horizontal="center" vertical="center"/>
    </xf>
    <xf numFmtId="0" fontId="1" fillId="4" borderId="7" xfId="0" applyFont="1" applyFill="1" applyBorder="1" applyAlignment="1">
      <alignment horizontal="center" vertical="center"/>
    </xf>
    <xf numFmtId="0" fontId="1" fillId="0" borderId="6" xfId="0" applyFont="1" applyBorder="1" applyAlignment="1">
      <alignment horizontal="center"/>
    </xf>
    <xf numFmtId="0" fontId="1" fillId="0" borderId="8" xfId="0" applyFont="1" applyBorder="1" applyAlignment="1">
      <alignment horizontal="center" vertical="center" wrapText="1"/>
    </xf>
    <xf numFmtId="176" fontId="1" fillId="0" borderId="8" xfId="0" applyNumberFormat="1" applyFont="1" applyBorder="1" applyAlignment="1">
      <alignment horizontal="center"/>
    </xf>
    <xf numFmtId="0" fontId="1" fillId="0" borderId="8" xfId="0" applyFont="1" applyBorder="1" applyAlignment="1">
      <alignment horizontal="center"/>
    </xf>
    <xf numFmtId="0" fontId="1" fillId="4" borderId="8" xfId="0" applyFont="1" applyFill="1" applyBorder="1" applyAlignment="1">
      <alignment horizontal="center" vertical="center"/>
    </xf>
    <xf numFmtId="0" fontId="1" fillId="0" borderId="8" xfId="0" applyFont="1" applyBorder="1" applyAlignment="1">
      <alignment horizontal="center" vertical="center"/>
    </xf>
    <xf numFmtId="0" fontId="1" fillId="7" borderId="8" xfId="0" applyFont="1" applyFill="1" applyBorder="1" applyAlignment="1">
      <alignment horizontal="center" vertical="center"/>
    </xf>
    <xf numFmtId="0" fontId="1" fillId="0" borderId="9" xfId="0" applyFont="1" applyBorder="1" applyAlignment="1">
      <alignment horizontal="center" vertical="center"/>
    </xf>
    <xf numFmtId="0" fontId="1" fillId="4" borderId="10" xfId="0" applyFont="1" applyFill="1" applyBorder="1" applyAlignment="1">
      <alignment horizontal="center" vertical="center"/>
    </xf>
    <xf numFmtId="0" fontId="1" fillId="0" borderId="9" xfId="0" applyFont="1" applyBorder="1" applyAlignment="1">
      <alignment horizontal="center"/>
    </xf>
    <xf numFmtId="0" fontId="1" fillId="0" borderId="3" xfId="0" applyFont="1" applyBorder="1" applyAlignment="1">
      <alignment horizontal="center" vertical="center"/>
    </xf>
    <xf numFmtId="0" fontId="1" fillId="0" borderId="6" xfId="0" applyFont="1" applyBorder="1" applyAlignment="1">
      <alignment vertical="center" wrapText="1"/>
    </xf>
    <xf numFmtId="0" fontId="1" fillId="3" borderId="7"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14" xfId="0" applyFont="1" applyBorder="1" applyAlignment="1">
      <alignment horizontal="center" vertical="center"/>
    </xf>
    <xf numFmtId="0" fontId="1" fillId="4" borderId="15" xfId="0" applyFont="1" applyFill="1" applyBorder="1" applyAlignment="1">
      <alignment horizontal="center" vertical="center"/>
    </xf>
    <xf numFmtId="0" fontId="1" fillId="0" borderId="6" xfId="0" applyFont="1" applyBorder="1" applyAlignment="1">
      <alignment vertical="center"/>
    </xf>
    <xf numFmtId="0" fontId="1" fillId="0" borderId="1" xfId="0" applyFont="1" applyBorder="1" applyAlignment="1">
      <alignment horizontal="center" vertical="center"/>
    </xf>
    <xf numFmtId="0" fontId="1" fillId="3" borderId="10" xfId="0" applyFont="1" applyFill="1" applyBorder="1" applyAlignment="1">
      <alignment horizontal="center" vertical="center"/>
    </xf>
    <xf numFmtId="0" fontId="1" fillId="4" borderId="0" xfId="0" applyFont="1" applyFill="1" applyAlignment="1">
      <alignment horizontal="center" vertical="center"/>
    </xf>
    <xf numFmtId="178" fontId="1" fillId="0" borderId="15" xfId="1" applyNumberFormat="1" applyFont="1" applyBorder="1" applyAlignment="1">
      <alignment horizontal="center" vertical="center"/>
    </xf>
    <xf numFmtId="0" fontId="1" fillId="0" borderId="16" xfId="0" applyFont="1" applyBorder="1"/>
    <xf numFmtId="178" fontId="1" fillId="0" borderId="0" xfId="1" applyNumberFormat="1" applyFont="1" applyAlignment="1">
      <alignment horizontal="center" vertical="center"/>
    </xf>
    <xf numFmtId="0" fontId="1" fillId="0" borderId="7" xfId="0" applyFont="1" applyBorder="1"/>
    <xf numFmtId="179" fontId="1" fillId="0" borderId="7" xfId="2" applyNumberFormat="1" applyFont="1" applyBorder="1" applyAlignment="1">
      <alignment horizontal="center" vertical="center"/>
    </xf>
    <xf numFmtId="0" fontId="4" fillId="0" borderId="0" xfId="0" applyFont="1"/>
    <xf numFmtId="0" fontId="5" fillId="8" borderId="0" xfId="0" applyFont="1" applyFill="1" applyAlignment="1">
      <alignment horizontal="center" vertical="center"/>
    </xf>
    <xf numFmtId="9" fontId="1" fillId="0" borderId="1" xfId="2" applyFont="1" applyBorder="1" applyAlignment="1">
      <alignment horizontal="center" vertical="center"/>
    </xf>
    <xf numFmtId="0" fontId="1" fillId="0" borderId="10" xfId="0" applyFont="1" applyBorder="1"/>
    <xf numFmtId="0" fontId="4" fillId="0" borderId="0" xfId="0" applyFont="1" applyAlignment="1">
      <alignment horizontal="center" vertical="center"/>
    </xf>
    <xf numFmtId="0" fontId="5" fillId="8" borderId="16" xfId="0" applyFont="1" applyFill="1" applyBorder="1" applyAlignment="1">
      <alignment horizontal="center" vertical="center"/>
    </xf>
    <xf numFmtId="1" fontId="1" fillId="8" borderId="7" xfId="0" applyNumberFormat="1" applyFont="1" applyFill="1" applyBorder="1" applyAlignment="1">
      <alignment horizontal="center" vertical="center"/>
    </xf>
    <xf numFmtId="178" fontId="5" fillId="8" borderId="10" xfId="0" applyNumberFormat="1" applyFont="1" applyFill="1" applyBorder="1" applyAlignment="1">
      <alignment horizontal="center" vertical="center"/>
    </xf>
    <xf numFmtId="0" fontId="1" fillId="0" borderId="18" xfId="0" applyFont="1" applyBorder="1" applyAlignment="1">
      <alignment horizontal="center" vertical="center"/>
    </xf>
    <xf numFmtId="0" fontId="1" fillId="0" borderId="10" xfId="0" applyFont="1" applyBorder="1" applyAlignment="1">
      <alignment horizontal="center" vertical="center"/>
    </xf>
    <xf numFmtId="0" fontId="7" fillId="0" borderId="0" xfId="3" applyFont="1" applyAlignment="1">
      <alignment vertical="center"/>
    </xf>
    <xf numFmtId="0" fontId="7" fillId="0" borderId="0" xfId="3" applyFont="1" applyAlignment="1">
      <alignment vertical="center" wrapText="1"/>
    </xf>
    <xf numFmtId="0" fontId="1" fillId="4" borderId="19" xfId="0" applyFont="1" applyFill="1" applyBorder="1" applyAlignment="1">
      <alignment horizontal="center" vertical="center"/>
    </xf>
    <xf numFmtId="0" fontId="1" fillId="0" borderId="15" xfId="0" applyFont="1" applyBorder="1" applyAlignment="1">
      <alignment horizontal="center" vertical="center" wrapText="1"/>
    </xf>
    <xf numFmtId="176" fontId="1" fillId="0" borderId="15" xfId="0" applyNumberFormat="1" applyFont="1" applyBorder="1" applyAlignment="1">
      <alignment horizontal="center"/>
    </xf>
    <xf numFmtId="0" fontId="1" fillId="0" borderId="15" xfId="0" applyFont="1" applyBorder="1"/>
    <xf numFmtId="0" fontId="1" fillId="0" borderId="15" xfId="0" applyFont="1" applyBorder="1" applyAlignment="1">
      <alignment horizontal="center"/>
    </xf>
    <xf numFmtId="0" fontId="1" fillId="0" borderId="15" xfId="0" applyFont="1" applyBorder="1" applyAlignment="1">
      <alignment horizontal="center" vertical="center"/>
    </xf>
    <xf numFmtId="1" fontId="1" fillId="8" borderId="13" xfId="0" applyNumberFormat="1" applyFont="1" applyFill="1" applyBorder="1" applyAlignment="1">
      <alignment horizontal="center" vertical="center"/>
    </xf>
    <xf numFmtId="180" fontId="1" fillId="0" borderId="0" xfId="0" applyNumberFormat="1" applyFont="1"/>
    <xf numFmtId="181" fontId="1" fillId="0" borderId="0" xfId="0" applyNumberFormat="1" applyFont="1"/>
    <xf numFmtId="0" fontId="1" fillId="4" borderId="3" xfId="0" applyFont="1" applyFill="1" applyBorder="1" applyAlignment="1">
      <alignment horizontal="center" vertical="center" wrapText="1"/>
    </xf>
    <xf numFmtId="0" fontId="1" fillId="0" borderId="4" xfId="0" applyFont="1" applyBorder="1" applyAlignment="1">
      <alignment horizontal="center" vertical="center"/>
    </xf>
    <xf numFmtId="180" fontId="1" fillId="5" borderId="2" xfId="0" applyNumberFormat="1"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20" xfId="0" applyFont="1" applyFill="1" applyBorder="1" applyAlignment="1">
      <alignment horizontal="center" vertical="center"/>
    </xf>
    <xf numFmtId="0" fontId="1" fillId="6" borderId="20" xfId="0" applyFont="1" applyFill="1" applyBorder="1" applyAlignment="1">
      <alignment horizontal="center" vertical="center" wrapText="1"/>
    </xf>
    <xf numFmtId="181" fontId="1" fillId="6" borderId="20" xfId="0" applyNumberFormat="1" applyFont="1" applyFill="1" applyBorder="1" applyAlignment="1">
      <alignment horizontal="center" vertical="center" wrapText="1"/>
    </xf>
    <xf numFmtId="0" fontId="1" fillId="4" borderId="6" xfId="0" applyFont="1" applyFill="1" applyBorder="1" applyAlignment="1">
      <alignment horizontal="center"/>
    </xf>
    <xf numFmtId="0" fontId="1" fillId="0" borderId="7" xfId="0" applyFont="1" applyBorder="1" applyAlignment="1">
      <alignment horizontal="center" vertical="center"/>
    </xf>
    <xf numFmtId="180" fontId="1" fillId="0" borderId="8" xfId="0" applyNumberFormat="1" applyFont="1" applyBorder="1" applyAlignment="1">
      <alignment horizontal="center" vertical="center" wrapText="1"/>
    </xf>
    <xf numFmtId="0" fontId="1" fillId="0" borderId="20" xfId="0" applyFont="1" applyBorder="1" applyAlignment="1">
      <alignment horizontal="center"/>
    </xf>
    <xf numFmtId="0" fontId="1" fillId="4" borderId="15" xfId="0" applyFont="1" applyFill="1" applyBorder="1" applyAlignment="1">
      <alignment horizontal="center"/>
    </xf>
    <xf numFmtId="181" fontId="1" fillId="4" borderId="15" xfId="0" applyNumberFormat="1" applyFont="1" applyFill="1" applyBorder="1" applyAlignment="1">
      <alignment horizontal="center"/>
    </xf>
    <xf numFmtId="182" fontId="1" fillId="0" borderId="15" xfId="1" applyNumberFormat="1" applyFont="1" applyBorder="1" applyAlignment="1">
      <alignment horizontal="center"/>
    </xf>
    <xf numFmtId="182" fontId="1" fillId="7" borderId="16" xfId="0" applyNumberFormat="1" applyFont="1" applyFill="1" applyBorder="1"/>
    <xf numFmtId="0" fontId="1" fillId="0" borderId="0" xfId="0" applyFont="1" applyAlignment="1">
      <alignment horizontal="center"/>
    </xf>
    <xf numFmtId="0" fontId="1" fillId="4" borderId="0" xfId="0" applyFont="1" applyFill="1" applyAlignment="1">
      <alignment horizontal="center"/>
    </xf>
    <xf numFmtId="181" fontId="1" fillId="4" borderId="0" xfId="0" applyNumberFormat="1" applyFont="1" applyFill="1" applyAlignment="1">
      <alignment horizontal="center"/>
    </xf>
    <xf numFmtId="182" fontId="1" fillId="0" borderId="0" xfId="1" applyNumberFormat="1" applyFont="1" applyAlignment="1">
      <alignment horizontal="center"/>
    </xf>
    <xf numFmtId="0" fontId="1" fillId="4" borderId="9" xfId="0" applyFont="1" applyFill="1" applyBorder="1" applyAlignment="1">
      <alignment horizontal="center"/>
    </xf>
    <xf numFmtId="0" fontId="1" fillId="8" borderId="0" xfId="0" applyFont="1" applyFill="1"/>
    <xf numFmtId="0" fontId="1" fillId="4" borderId="6" xfId="0" applyFont="1" applyFill="1" applyBorder="1" applyAlignment="1">
      <alignment horizontal="center" vertical="center"/>
    </xf>
    <xf numFmtId="0" fontId="1" fillId="4" borderId="9" xfId="0" applyFont="1" applyFill="1" applyBorder="1" applyAlignment="1">
      <alignment horizontal="center" vertical="center"/>
    </xf>
    <xf numFmtId="178" fontId="1" fillId="0" borderId="0" xfId="0" applyNumberFormat="1" applyFont="1" applyAlignment="1">
      <alignment horizontal="center" vertical="center"/>
    </xf>
    <xf numFmtId="0" fontId="8" fillId="0" borderId="0" xfId="0" applyFont="1" applyAlignment="1">
      <alignment horizontal="center" vertical="center"/>
    </xf>
    <xf numFmtId="0" fontId="1" fillId="0" borderId="1" xfId="2" applyNumberFormat="1" applyFont="1" applyBorder="1" applyAlignment="1">
      <alignment horizontal="center" vertical="center"/>
    </xf>
    <xf numFmtId="0" fontId="9" fillId="0" borderId="0" xfId="0" applyFont="1" applyAlignment="1">
      <alignment horizontal="center" vertical="center"/>
    </xf>
    <xf numFmtId="0" fontId="9" fillId="0" borderId="0" xfId="0" applyFont="1"/>
    <xf numFmtId="180" fontId="1" fillId="0" borderId="8" xfId="0" applyNumberFormat="1" applyFont="1" applyBorder="1" applyAlignment="1">
      <alignment horizontal="center" vertical="center"/>
    </xf>
    <xf numFmtId="176" fontId="1" fillId="0" borderId="6" xfId="0" applyNumberFormat="1" applyFont="1" applyBorder="1" applyAlignment="1">
      <alignment horizontal="center"/>
    </xf>
    <xf numFmtId="0" fontId="1" fillId="0" borderId="6" xfId="0" applyFont="1" applyBorder="1"/>
    <xf numFmtId="0" fontId="1" fillId="0" borderId="19" xfId="0" applyFont="1" applyBorder="1" applyAlignment="1">
      <alignment horizontal="center"/>
    </xf>
    <xf numFmtId="0" fontId="1" fillId="0" borderId="1" xfId="0" applyFont="1" applyBorder="1" applyAlignment="1">
      <alignment horizontal="center"/>
    </xf>
    <xf numFmtId="0" fontId="1" fillId="4" borderId="1" xfId="0" applyFont="1" applyFill="1" applyBorder="1" applyAlignment="1">
      <alignment horizontal="center"/>
    </xf>
    <xf numFmtId="180" fontId="1" fillId="0" borderId="15" xfId="0" applyNumberFormat="1" applyFont="1" applyBorder="1" applyAlignment="1">
      <alignment horizontal="center" vertical="center" wrapText="1"/>
    </xf>
    <xf numFmtId="0" fontId="10" fillId="8" borderId="19" xfId="0" applyFont="1" applyFill="1" applyBorder="1" applyAlignment="1">
      <alignment horizontal="center"/>
    </xf>
    <xf numFmtId="2" fontId="10" fillId="8" borderId="19" xfId="0" applyNumberFormat="1" applyFont="1" applyFill="1" applyBorder="1" applyAlignment="1">
      <alignment horizontal="center"/>
    </xf>
    <xf numFmtId="184" fontId="10" fillId="8" borderId="1" xfId="0" applyNumberFormat="1" applyFont="1" applyFill="1" applyBorder="1" applyAlignment="1">
      <alignment horizontal="center"/>
    </xf>
    <xf numFmtId="181" fontId="10" fillId="8" borderId="2" xfId="0" applyNumberFormat="1" applyFont="1" applyFill="1" applyBorder="1" applyAlignment="1">
      <alignment horizontal="center"/>
    </xf>
    <xf numFmtId="184" fontId="10" fillId="8" borderId="2" xfId="0" applyNumberFormat="1" applyFont="1" applyFill="1" applyBorder="1" applyAlignment="1">
      <alignment horizontal="center"/>
    </xf>
    <xf numFmtId="183" fontId="10" fillId="8" borderId="2" xfId="0" applyNumberFormat="1" applyFont="1" applyFill="1" applyBorder="1" applyAlignment="1">
      <alignment horizontal="center"/>
    </xf>
    <xf numFmtId="180" fontId="1" fillId="0" borderId="0" xfId="0" applyNumberFormat="1" applyFont="1" applyAlignment="1">
      <alignment horizontal="center" vertical="center"/>
    </xf>
    <xf numFmtId="176" fontId="1" fillId="0" borderId="0" xfId="0" applyNumberFormat="1" applyFont="1" applyAlignment="1">
      <alignment horizontal="center"/>
    </xf>
    <xf numFmtId="0" fontId="1" fillId="0" borderId="0" xfId="0" applyFont="1" applyAlignment="1">
      <alignment horizontal="center" vertical="center" wrapText="1"/>
    </xf>
    <xf numFmtId="180" fontId="1" fillId="0" borderId="0" xfId="0" applyNumberFormat="1" applyFont="1" applyAlignment="1">
      <alignment horizontal="center" vertical="center" wrapText="1"/>
    </xf>
    <xf numFmtId="181" fontId="1" fillId="0" borderId="0" xfId="0" applyNumberFormat="1" applyFont="1" applyAlignment="1">
      <alignment horizontal="center" vertical="center"/>
    </xf>
    <xf numFmtId="0" fontId="1" fillId="2" borderId="0" xfId="0" applyFont="1" applyFill="1" applyAlignment="1">
      <alignment vertical="center" wrapText="1"/>
    </xf>
    <xf numFmtId="0" fontId="1" fillId="3" borderId="14" xfId="0" applyFont="1" applyFill="1" applyBorder="1" applyAlignment="1">
      <alignment horizontal="right" vertical="center"/>
    </xf>
    <xf numFmtId="0" fontId="11" fillId="3" borderId="15" xfId="0" applyFont="1" applyFill="1" applyBorder="1" applyAlignment="1">
      <alignment horizontal="center"/>
    </xf>
    <xf numFmtId="0" fontId="1" fillId="0" borderId="7" xfId="0" applyFont="1" applyBorder="1" applyAlignment="1">
      <alignment vertical="center" wrapText="1"/>
    </xf>
    <xf numFmtId="0" fontId="11" fillId="4" borderId="8" xfId="0" applyFont="1" applyFill="1" applyBorder="1" applyAlignment="1">
      <alignment horizontal="center"/>
    </xf>
    <xf numFmtId="0" fontId="11" fillId="0" borderId="8" xfId="0" applyFont="1" applyBorder="1" applyAlignment="1">
      <alignment horizontal="center"/>
    </xf>
    <xf numFmtId="0" fontId="11" fillId="0" borderId="7" xfId="0" applyFont="1" applyBorder="1" applyAlignment="1">
      <alignment horizontal="center"/>
    </xf>
    <xf numFmtId="0" fontId="11" fillId="4" borderId="0" xfId="0" applyFont="1" applyFill="1" applyAlignment="1">
      <alignment horizontal="center"/>
    </xf>
    <xf numFmtId="0" fontId="11" fillId="0" borderId="0" xfId="0" applyFont="1" applyAlignment="1">
      <alignment horizontal="center"/>
    </xf>
    <xf numFmtId="178" fontId="11" fillId="0" borderId="7" xfId="0" applyNumberFormat="1" applyFont="1" applyBorder="1" applyAlignment="1">
      <alignment horizontal="center"/>
    </xf>
    <xf numFmtId="0" fontId="11" fillId="0" borderId="8" xfId="0" applyFont="1" applyBorder="1" applyAlignment="1">
      <alignment horizontal="left"/>
    </xf>
    <xf numFmtId="0" fontId="1" fillId="0" borderId="8" xfId="0" applyFont="1" applyBorder="1" applyAlignment="1">
      <alignment vertical="top" wrapText="1"/>
    </xf>
    <xf numFmtId="0" fontId="1" fillId="2" borderId="0" xfId="0" applyFont="1" applyFill="1" applyAlignment="1">
      <alignment vertical="top" wrapText="1"/>
    </xf>
    <xf numFmtId="0" fontId="1" fillId="0" borderId="6" xfId="0" applyFont="1" applyBorder="1" applyAlignment="1">
      <alignment horizontal="center" vertical="center" wrapText="1"/>
    </xf>
    <xf numFmtId="0" fontId="1" fillId="4" borderId="7" xfId="0" applyFont="1" applyFill="1" applyBorder="1" applyAlignment="1">
      <alignment horizontal="center" vertical="center" wrapText="1"/>
    </xf>
    <xf numFmtId="0" fontId="11" fillId="4" borderId="19" xfId="0" applyFont="1" applyFill="1" applyBorder="1" applyAlignment="1">
      <alignment horizontal="center"/>
    </xf>
    <xf numFmtId="0" fontId="11" fillId="0" borderId="19" xfId="0" applyFont="1" applyBorder="1" applyAlignment="1">
      <alignment horizontal="center"/>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4" borderId="10" xfId="0" applyFont="1" applyFill="1" applyBorder="1" applyAlignment="1">
      <alignment horizontal="center" vertical="center" wrapText="1"/>
    </xf>
    <xf numFmtId="0" fontId="11" fillId="0" borderId="6" xfId="0" applyFont="1" applyBorder="1" applyAlignment="1">
      <alignment horizontal="left"/>
    </xf>
    <xf numFmtId="178" fontId="11" fillId="0" borderId="16" xfId="1" applyNumberFormat="1" applyFont="1" applyBorder="1" applyAlignment="1">
      <alignment horizontal="center"/>
    </xf>
    <xf numFmtId="178" fontId="11" fillId="0" borderId="10" xfId="1" applyNumberFormat="1" applyFont="1" applyBorder="1" applyAlignment="1">
      <alignment horizontal="center"/>
    </xf>
    <xf numFmtId="0" fontId="1" fillId="7" borderId="4" xfId="0" applyFont="1" applyFill="1" applyBorder="1" applyAlignment="1">
      <alignment horizontal="center" vertical="center"/>
    </xf>
    <xf numFmtId="0" fontId="11" fillId="0" borderId="6" xfId="0" applyFont="1" applyBorder="1" applyAlignment="1">
      <alignment horizontal="center"/>
    </xf>
    <xf numFmtId="178" fontId="11" fillId="7" borderId="7" xfId="0" applyNumberFormat="1" applyFont="1" applyFill="1" applyBorder="1" applyAlignment="1">
      <alignment horizontal="center"/>
    </xf>
    <xf numFmtId="0" fontId="11" fillId="0" borderId="9" xfId="0" applyFont="1" applyBorder="1" applyAlignment="1">
      <alignment horizontal="center"/>
    </xf>
    <xf numFmtId="178" fontId="11" fillId="7" borderId="10" xfId="0" applyNumberFormat="1" applyFont="1" applyFill="1" applyBorder="1" applyAlignment="1">
      <alignment horizontal="center"/>
    </xf>
    <xf numFmtId="178" fontId="11" fillId="8" borderId="0" xfId="0" applyNumberFormat="1" applyFont="1" applyFill="1" applyAlignment="1">
      <alignment horizontal="center"/>
    </xf>
    <xf numFmtId="0" fontId="11" fillId="8" borderId="0" xfId="0" applyFont="1" applyFill="1" applyAlignment="1">
      <alignment horizontal="center"/>
    </xf>
    <xf numFmtId="0" fontId="11" fillId="0" borderId="10" xfId="0" applyFont="1" applyBorder="1" applyAlignment="1">
      <alignment horizontal="center"/>
    </xf>
    <xf numFmtId="0" fontId="11" fillId="4" borderId="1" xfId="0" applyFont="1" applyFill="1" applyBorder="1" applyAlignment="1">
      <alignment horizontal="center"/>
    </xf>
    <xf numFmtId="0" fontId="11" fillId="0" borderId="1" xfId="0" applyFont="1" applyBorder="1" applyAlignment="1">
      <alignment horizontal="center"/>
    </xf>
    <xf numFmtId="178" fontId="11" fillId="0" borderId="10" xfId="0" applyNumberFormat="1" applyFont="1" applyBorder="1" applyAlignment="1">
      <alignment horizontal="center"/>
    </xf>
    <xf numFmtId="0" fontId="1" fillId="0" borderId="12" xfId="0" applyFont="1" applyBorder="1" applyAlignment="1">
      <alignment horizontal="center" vertical="center" wrapText="1"/>
    </xf>
    <xf numFmtId="0" fontId="1" fillId="0" borderId="15" xfId="0" applyFont="1" applyBorder="1" applyAlignment="1">
      <alignment horizontal="left" vertical="center"/>
    </xf>
    <xf numFmtId="0" fontId="1" fillId="0" borderId="0" xfId="0" applyFont="1" applyBorder="1" applyAlignment="1">
      <alignment horizontal="left" vertical="center"/>
    </xf>
    <xf numFmtId="0" fontId="1" fillId="0" borderId="1" xfId="0" applyFont="1" applyBorder="1" applyAlignment="1">
      <alignment horizontal="left" vertical="center"/>
    </xf>
    <xf numFmtId="0" fontId="1" fillId="0" borderId="14" xfId="0" applyFont="1" applyBorder="1" applyAlignment="1">
      <alignment horizontal="left" vertical="center"/>
    </xf>
    <xf numFmtId="0" fontId="1" fillId="0" borderId="6" xfId="0" applyFont="1" applyBorder="1" applyAlignment="1">
      <alignment horizontal="left" vertical="center"/>
    </xf>
    <xf numFmtId="0" fontId="1" fillId="4" borderId="3" xfId="0" applyFont="1" applyFill="1" applyBorder="1" applyAlignment="1">
      <alignment horizontal="center" vertical="center"/>
    </xf>
    <xf numFmtId="0" fontId="1" fillId="4" borderId="11" xfId="0" applyFont="1" applyFill="1" applyBorder="1" applyAlignment="1">
      <alignment horizontal="center" vertical="center"/>
    </xf>
    <xf numFmtId="0" fontId="1" fillId="0" borderId="6" xfId="0" applyFont="1" applyBorder="1" applyAlignment="1">
      <alignment horizontal="left"/>
    </xf>
    <xf numFmtId="0" fontId="1" fillId="0" borderId="0" xfId="0" applyFont="1" applyBorder="1" applyAlignment="1">
      <alignment horizontal="center" vertical="center"/>
    </xf>
    <xf numFmtId="0" fontId="1" fillId="0" borderId="9" xfId="0" applyFont="1" applyBorder="1" applyAlignment="1">
      <alignment horizontal="left" vertical="center"/>
    </xf>
    <xf numFmtId="0" fontId="1" fillId="8" borderId="14" xfId="0" applyFont="1" applyFill="1" applyBorder="1" applyAlignment="1">
      <alignment horizontal="right" vertical="center"/>
    </xf>
    <xf numFmtId="0" fontId="1" fillId="8" borderId="6" xfId="0" applyFont="1" applyFill="1" applyBorder="1" applyAlignment="1">
      <alignment horizontal="right" vertical="center"/>
    </xf>
    <xf numFmtId="0" fontId="1" fillId="8" borderId="9" xfId="0" applyFont="1" applyFill="1" applyBorder="1" applyAlignment="1">
      <alignment horizontal="right"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8" borderId="5" xfId="0" applyFont="1" applyFill="1" applyBorder="1" applyAlignment="1">
      <alignment horizontal="right" vertical="center"/>
    </xf>
    <xf numFmtId="0" fontId="1" fillId="2" borderId="0" xfId="0" applyFont="1" applyFill="1" applyBorder="1" applyAlignment="1">
      <alignment horizontal="center"/>
    </xf>
    <xf numFmtId="0" fontId="1" fillId="2" borderId="1" xfId="0" applyFont="1" applyFill="1" applyBorder="1" applyAlignment="1">
      <alignment horizontal="center"/>
    </xf>
    <xf numFmtId="0" fontId="1" fillId="4"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8" borderId="0" xfId="0" applyFont="1" applyFill="1" applyBorder="1" applyAlignment="1">
      <alignment horizontal="center" vertical="center" wrapText="1"/>
    </xf>
    <xf numFmtId="183" fontId="1" fillId="8" borderId="0" xfId="0" applyNumberFormat="1" applyFont="1" applyFill="1" applyBorder="1" applyAlignment="1">
      <alignment horizontal="center" vertical="center"/>
    </xf>
    <xf numFmtId="0" fontId="1" fillId="3" borderId="20" xfId="0" applyFont="1" applyFill="1" applyBorder="1" applyAlignment="1">
      <alignment horizontal="left" vertical="center" wrapText="1"/>
    </xf>
    <xf numFmtId="0" fontId="1" fillId="3" borderId="20"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21" xfId="0" applyFont="1" applyFill="1" applyBorder="1" applyAlignment="1">
      <alignment horizontal="center" vertical="center" wrapText="1"/>
    </xf>
    <xf numFmtId="0" fontId="1" fillId="0" borderId="21" xfId="0" applyFont="1" applyBorder="1" applyAlignment="1">
      <alignment horizontal="center" vertical="center" wrapText="1"/>
    </xf>
    <xf numFmtId="0" fontId="1" fillId="9" borderId="22" xfId="0" applyFont="1" applyFill="1" applyBorder="1" applyAlignment="1">
      <alignment horizontal="center" vertical="center"/>
    </xf>
    <xf numFmtId="0" fontId="1" fillId="9" borderId="23" xfId="0" applyFont="1" applyFill="1" applyBorder="1" applyAlignment="1">
      <alignment horizontal="center" vertical="center"/>
    </xf>
    <xf numFmtId="0" fontId="1" fillId="10" borderId="22"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1" fillId="10" borderId="23" xfId="0" applyFont="1" applyFill="1" applyBorder="1" applyAlignment="1">
      <alignment horizontal="center" vertical="center" wrapText="1"/>
    </xf>
    <xf numFmtId="181" fontId="1" fillId="10" borderId="23" xfId="0" applyNumberFormat="1"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4" xfId="0" applyFont="1" applyBorder="1" applyAlignment="1">
      <alignment horizontal="right" vertical="center"/>
    </xf>
    <xf numFmtId="0" fontId="1" fillId="0" borderId="9" xfId="0" applyFont="1" applyBorder="1" applyAlignment="1">
      <alignment horizontal="right" vertical="center"/>
    </xf>
    <xf numFmtId="0" fontId="1" fillId="8" borderId="0" xfId="0" applyFont="1" applyFill="1" applyBorder="1" applyAlignment="1">
      <alignment horizontal="right" vertical="center"/>
    </xf>
  </cellXfs>
  <cellStyles count="4">
    <cellStyle name="一般" xfId="0" builtinId="0"/>
    <cellStyle name="百分比" xfId="2" builtinId="5"/>
    <cellStyle name="貨幣" xfId="1" builtinId="4"/>
    <cellStyle name="超連結" xfId="3" builtinId="8"/>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B8B8B"/>
      <rgbColor rgb="FF9999FF"/>
      <rgbColor rgb="FF993366"/>
      <rgbColor rgb="FFFFF2CC"/>
      <rgbColor rgb="FFDBDBDB"/>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D9D9D9"/>
      <rgbColor rgb="FFE2F0D9"/>
      <rgbColor rgb="FFFFFF99"/>
      <rgbColor rgb="FFBFBFBF"/>
      <rgbColor rgb="FFFF99CC"/>
      <rgbColor rgb="FFC9C9C9"/>
      <rgbColor rgb="FFFBE5D6"/>
      <rgbColor rgb="FF3366FF"/>
      <rgbColor rgb="FF33CCCC"/>
      <rgbColor rgb="FF99CC00"/>
      <rgbColor rgb="FFFFCC00"/>
      <rgbColor rgb="FFFF9900"/>
      <rgbColor rgb="FFED7D31"/>
      <rgbColor rgb="FF595959"/>
      <rgbColor rgb="FFA5A5A5"/>
      <rgbColor rgb="FF003366"/>
      <rgbColor rgb="FF339966"/>
      <rgbColor rgb="FF003300"/>
      <rgbColor rgb="FF1D2129"/>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Demand During Protection Interval</a:t>
            </a:r>
          </a:p>
        </c:rich>
      </c:tx>
      <c:overlay val="0"/>
      <c:spPr>
        <a:noFill/>
        <a:ln w="0">
          <a:noFill/>
        </a:ln>
      </c:spPr>
    </c:title>
    <c:autoTitleDeleted val="0"/>
    <c:plotArea>
      <c:layout/>
      <c:barChart>
        <c:barDir val="col"/>
        <c:grouping val="clustered"/>
        <c:varyColors val="0"/>
        <c:ser>
          <c:idx val="0"/>
          <c:order val="0"/>
          <c:tx>
            <c:strRef>
              <c:f>'P system'!$P$19:$P$20</c:f>
              <c:strCache>
                <c:ptCount val="2"/>
                <c:pt idx="0">
                  <c:v>Frequency</c:v>
                </c:pt>
              </c:strCache>
            </c:strRef>
          </c:tx>
          <c:spPr>
            <a:solidFill>
              <a:srgbClr val="ED7D31"/>
            </a:solidFill>
            <a:ln w="12600">
              <a:noFill/>
            </a:ln>
          </c:spPr>
          <c:invertIfNegative val="0"/>
          <c:dLbls>
            <c:spPr>
              <a:noFill/>
              <a:ln>
                <a:noFill/>
              </a:ln>
              <a:effectLst/>
            </c:spPr>
            <c:txPr>
              <a:bodyPr wrap="square"/>
              <a:lstStyle/>
              <a:p>
                <a:pPr>
                  <a:defRPr sz="900" b="0" u="none" strike="noStrike">
                    <a:solidFill>
                      <a:schemeClr val="tx1">
                        <a:lumMod val="75000"/>
                        <a:lumOff val="25000"/>
                      </a:schemeClr>
                    </a:solidFill>
                    <a:uFillTx/>
                    <a:latin typeface="Calibri"/>
                  </a:defRPr>
                </a:pPr>
                <a:endParaRPr lang="zh-TW"/>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'P system'!$P$21:$P$31</c:f>
              <c:numCache>
                <c:formatCode>General</c:formatCode>
                <c:ptCount val="11"/>
              </c:numCache>
            </c:numRef>
          </c:val>
          <c:extLst>
            <c:ext xmlns:c16="http://schemas.microsoft.com/office/drawing/2014/chart" uri="{C3380CC4-5D6E-409C-BE32-E72D297353CC}">
              <c16:uniqueId val="{00000000-67F7-4F31-B7FF-E1C1E769B6A2}"/>
            </c:ext>
          </c:extLst>
        </c:ser>
        <c:dLbls>
          <c:showLegendKey val="0"/>
          <c:showVal val="0"/>
          <c:showCatName val="0"/>
          <c:showSerName val="0"/>
          <c:showPercent val="0"/>
          <c:showBubbleSize val="0"/>
        </c:dLbls>
        <c:gapWidth val="219"/>
        <c:overlap val="-27"/>
        <c:axId val="26483419"/>
        <c:axId val="65300502"/>
      </c:barChart>
      <c:lineChart>
        <c:grouping val="standard"/>
        <c:varyColors val="0"/>
        <c:ser>
          <c:idx val="1"/>
          <c:order val="1"/>
          <c:tx>
            <c:strRef>
              <c:f>'P system'!$Q$19:$Q$20</c:f>
              <c:strCache>
                <c:ptCount val="2"/>
                <c:pt idx="0">
                  <c:v>Cumulative Percentage</c:v>
                </c:pt>
              </c:strCache>
            </c:strRef>
          </c:tx>
          <c:spPr>
            <a:ln w="28440" cap="rnd">
              <a:solidFill>
                <a:srgbClr val="A5A5A5"/>
              </a:solidFill>
              <a:round/>
            </a:ln>
          </c:spPr>
          <c:marker>
            <c:symbol val="none"/>
          </c:marker>
          <c:dLbls>
            <c:spPr>
              <a:noFill/>
              <a:ln>
                <a:noFill/>
              </a:ln>
              <a:effectLst/>
            </c:spPr>
            <c:txPr>
              <a:bodyPr wrap="square"/>
              <a:lstStyle/>
              <a:p>
                <a:pPr>
                  <a:defRPr sz="900" b="0" u="none" strike="noStrike">
                    <a:solidFill>
                      <a:schemeClr val="tx1">
                        <a:lumMod val="75000"/>
                        <a:lumOff val="25000"/>
                      </a:schemeClr>
                    </a:solidFill>
                    <a:uFillTx/>
                    <a:latin typeface="Calibri"/>
                  </a:defRPr>
                </a:pPr>
                <a:endParaRPr lang="zh-TW"/>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'P system'!$Q$21:$Q$31</c:f>
              <c:numCache>
                <c:formatCode>0.0%</c:formatCode>
                <c:ptCount val="11"/>
              </c:numCache>
            </c:numRef>
          </c:val>
          <c:smooth val="0"/>
          <c:extLst>
            <c:ext xmlns:c16="http://schemas.microsoft.com/office/drawing/2014/chart" uri="{C3380CC4-5D6E-409C-BE32-E72D297353CC}">
              <c16:uniqueId val="{00000001-67F7-4F31-B7FF-E1C1E769B6A2}"/>
            </c:ext>
          </c:extLst>
        </c:ser>
        <c:dLbls>
          <c:showLegendKey val="0"/>
          <c:showVal val="0"/>
          <c:showCatName val="0"/>
          <c:showSerName val="0"/>
          <c:showPercent val="0"/>
          <c:showBubbleSize val="0"/>
        </c:dLbls>
        <c:hiLowLines>
          <c:spPr>
            <a:ln w="0">
              <a:noFill/>
            </a:ln>
          </c:spPr>
        </c:hiLowLines>
        <c:marker val="1"/>
        <c:smooth val="0"/>
        <c:axId val="95948220"/>
        <c:axId val="33742058"/>
      </c:lineChart>
      <c:catAx>
        <c:axId val="2648341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zh-TW"/>
          </a:p>
        </c:txPr>
        <c:crossAx val="65300502"/>
        <c:crosses val="autoZero"/>
        <c:auto val="1"/>
        <c:lblAlgn val="ctr"/>
        <c:lblOffset val="100"/>
        <c:noMultiLvlLbl val="0"/>
      </c:catAx>
      <c:valAx>
        <c:axId val="65300502"/>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endParaRPr lang="zh-TW"/>
          </a:p>
        </c:txPr>
        <c:crossAx val="26483419"/>
        <c:crosses val="autoZero"/>
        <c:crossBetween val="between"/>
      </c:valAx>
      <c:catAx>
        <c:axId val="95948220"/>
        <c:scaling>
          <c:orientation val="minMax"/>
        </c:scaling>
        <c:delete val="1"/>
        <c:axPos val="b"/>
        <c:numFmt formatCode="General" sourceLinked="1"/>
        <c:majorTickMark val="none"/>
        <c:minorTickMark val="none"/>
        <c:tickLblPos val="nextTo"/>
        <c:crossAx val="33742058"/>
        <c:crosses val="autoZero"/>
        <c:auto val="1"/>
        <c:lblAlgn val="ctr"/>
        <c:lblOffset val="100"/>
        <c:noMultiLvlLbl val="0"/>
      </c:catAx>
      <c:valAx>
        <c:axId val="33742058"/>
        <c:scaling>
          <c:orientation val="minMax"/>
        </c:scaling>
        <c:delete val="0"/>
        <c:axPos val="r"/>
        <c:numFmt formatCode="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endParaRPr lang="zh-TW"/>
          </a:p>
        </c:txPr>
        <c:crossAx val="95948220"/>
        <c:crosses val="max"/>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zh-TW"/>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98640</xdr:colOff>
      <xdr:row>29</xdr:row>
      <xdr:rowOff>79560</xdr:rowOff>
    </xdr:from>
    <xdr:to>
      <xdr:col>9</xdr:col>
      <xdr:colOff>84960</xdr:colOff>
      <xdr:row>44</xdr:row>
      <xdr:rowOff>17640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4"/>
  <sheetViews>
    <sheetView zoomScale="120" zoomScaleNormal="120" workbookViewId="0">
      <selection activeCell="P54" sqref="P54"/>
    </sheetView>
  </sheetViews>
  <sheetFormatPr defaultColWidth="9.140625" defaultRowHeight="15.75"/>
  <cols>
    <col min="1" max="1" width="3.85546875" style="15" customWidth="1"/>
    <col min="2" max="2" width="5" style="15" customWidth="1"/>
    <col min="3" max="3" width="14" style="15" customWidth="1"/>
    <col min="4" max="5" width="15" style="15" customWidth="1"/>
    <col min="6" max="6" width="5" style="15" customWidth="1"/>
    <col min="7" max="9" width="15" style="15" customWidth="1"/>
    <col min="10" max="10" width="5" style="15" customWidth="1"/>
    <col min="11" max="11" width="3.85546875" style="15" customWidth="1"/>
    <col min="12" max="12" width="2.85546875" style="16" customWidth="1"/>
    <col min="13" max="13" width="13.42578125" style="16" customWidth="1"/>
    <col min="14" max="14" width="13.42578125" style="15" customWidth="1"/>
    <col min="15" max="15" width="2.5703125" style="15" customWidth="1"/>
    <col min="16" max="17" width="13.42578125" style="16" customWidth="1"/>
    <col min="18" max="19" width="2.85546875" style="15" customWidth="1"/>
    <col min="20" max="23" width="11" style="15" customWidth="1"/>
    <col min="24" max="33" width="9.140625" style="15"/>
    <col min="34" max="34" width="3.5703125" style="15" customWidth="1"/>
    <col min="35" max="35" width="16.42578125" style="15" customWidth="1"/>
    <col min="36" max="36" width="27.28515625" style="16" customWidth="1"/>
    <col min="37" max="48" width="9" style="16" customWidth="1"/>
    <col min="49" max="49" width="29.5703125" style="16" customWidth="1"/>
    <col min="50" max="16384" width="9.140625" style="15"/>
  </cols>
  <sheetData>
    <row r="1" spans="1:49">
      <c r="A1" s="17"/>
      <c r="B1" s="18"/>
      <c r="C1" s="18"/>
      <c r="D1" s="18"/>
      <c r="E1" s="18"/>
      <c r="F1" s="18"/>
      <c r="G1" s="18"/>
      <c r="H1" s="18"/>
      <c r="I1" s="18"/>
      <c r="J1" s="18"/>
      <c r="K1" s="17"/>
    </row>
    <row r="2" spans="1:49" ht="18.75" customHeight="1">
      <c r="A2" s="17"/>
      <c r="B2" s="14" t="s">
        <v>0</v>
      </c>
      <c r="C2" s="14"/>
      <c r="D2" s="14"/>
      <c r="E2" s="14"/>
      <c r="F2" s="14"/>
      <c r="G2" s="14"/>
      <c r="H2" s="14"/>
      <c r="I2" s="14"/>
      <c r="J2" s="14"/>
      <c r="K2" s="17"/>
      <c r="L2" s="19"/>
      <c r="M2" s="13" t="s">
        <v>1</v>
      </c>
      <c r="N2" s="12" t="s">
        <v>2</v>
      </c>
      <c r="O2" s="16"/>
      <c r="P2" s="13" t="s">
        <v>1</v>
      </c>
      <c r="Q2" s="11" t="s">
        <v>3</v>
      </c>
      <c r="S2" s="20"/>
      <c r="T2" s="10" t="s">
        <v>4</v>
      </c>
      <c r="U2" s="10"/>
      <c r="V2" s="10"/>
      <c r="W2" s="10"/>
      <c r="X2" s="10"/>
      <c r="Y2" s="10"/>
      <c r="Z2" s="10"/>
      <c r="AA2" s="10"/>
      <c r="AB2" s="10"/>
      <c r="AC2" s="10"/>
      <c r="AD2" s="10"/>
      <c r="AE2" s="10"/>
      <c r="AF2" s="10"/>
      <c r="AG2" s="10"/>
      <c r="AI2" s="9" t="s">
        <v>5</v>
      </c>
      <c r="AJ2" s="9"/>
      <c r="AK2" s="9"/>
      <c r="AL2" s="9"/>
      <c r="AM2" s="9"/>
      <c r="AN2" s="9"/>
      <c r="AO2" s="9"/>
      <c r="AP2" s="9"/>
      <c r="AQ2" s="9"/>
      <c r="AR2" s="9"/>
      <c r="AS2" s="9"/>
      <c r="AT2" s="9"/>
      <c r="AU2" s="9"/>
      <c r="AV2" s="9"/>
      <c r="AW2" s="9"/>
    </row>
    <row r="3" spans="1:49" ht="32.25" customHeight="1">
      <c r="A3" s="17"/>
      <c r="B3" s="14"/>
      <c r="C3" s="14"/>
      <c r="D3" s="14"/>
      <c r="E3" s="14"/>
      <c r="F3" s="14"/>
      <c r="G3" s="14"/>
      <c r="H3" s="14"/>
      <c r="I3" s="14"/>
      <c r="J3" s="14"/>
      <c r="K3" s="17"/>
      <c r="M3" s="13"/>
      <c r="N3" s="12"/>
      <c r="O3" s="16"/>
      <c r="P3" s="13"/>
      <c r="Q3" s="11"/>
      <c r="S3" s="20"/>
      <c r="T3" s="21" t="s">
        <v>6</v>
      </c>
      <c r="U3" s="22" t="s">
        <v>7</v>
      </c>
      <c r="V3" s="22" t="s">
        <v>8</v>
      </c>
      <c r="W3" s="22" t="s">
        <v>9</v>
      </c>
      <c r="X3" s="22" t="s">
        <v>10</v>
      </c>
      <c r="Y3" s="22" t="s">
        <v>11</v>
      </c>
      <c r="Z3" s="22" t="s">
        <v>12</v>
      </c>
      <c r="AA3" s="22" t="s">
        <v>13</v>
      </c>
      <c r="AB3" s="22" t="s">
        <v>14</v>
      </c>
      <c r="AC3" s="22" t="s">
        <v>15</v>
      </c>
      <c r="AD3" s="22" t="s">
        <v>16</v>
      </c>
      <c r="AE3" s="22" t="s">
        <v>17</v>
      </c>
      <c r="AF3" s="22" t="s">
        <v>18</v>
      </c>
      <c r="AG3" s="22" t="s">
        <v>19</v>
      </c>
      <c r="AI3" s="23" t="s">
        <v>20</v>
      </c>
      <c r="AJ3" s="24" t="s">
        <v>21</v>
      </c>
      <c r="AK3" s="24" t="s">
        <v>22</v>
      </c>
      <c r="AL3" s="24" t="s">
        <v>23</v>
      </c>
      <c r="AM3" s="24" t="s">
        <v>24</v>
      </c>
      <c r="AN3" s="24" t="s">
        <v>25</v>
      </c>
      <c r="AO3" s="24" t="s">
        <v>26</v>
      </c>
      <c r="AP3" s="24" t="s">
        <v>27</v>
      </c>
      <c r="AQ3" s="24" t="s">
        <v>28</v>
      </c>
      <c r="AR3" s="24" t="s">
        <v>29</v>
      </c>
      <c r="AS3" s="24" t="s">
        <v>30</v>
      </c>
      <c r="AT3" s="24" t="s">
        <v>31</v>
      </c>
      <c r="AU3" s="24" t="s">
        <v>32</v>
      </c>
      <c r="AV3" s="24" t="s">
        <v>33</v>
      </c>
      <c r="AW3" s="24" t="s">
        <v>34</v>
      </c>
    </row>
    <row r="4" spans="1:49" ht="16.5" customHeight="1">
      <c r="A4" s="17"/>
      <c r="B4" s="14"/>
      <c r="C4" s="14"/>
      <c r="D4" s="14"/>
      <c r="E4" s="14"/>
      <c r="F4" s="14"/>
      <c r="G4" s="14"/>
      <c r="H4" s="14"/>
      <c r="I4" s="14"/>
      <c r="J4" s="14"/>
      <c r="K4" s="17"/>
      <c r="M4" s="25"/>
      <c r="N4" s="26"/>
      <c r="O4" s="16"/>
      <c r="P4" s="27"/>
      <c r="Q4" s="26"/>
      <c r="S4" s="16"/>
      <c r="T4" s="28">
        <v>1</v>
      </c>
      <c r="U4" s="29"/>
      <c r="V4" s="29"/>
      <c r="W4" s="29"/>
      <c r="X4" s="29"/>
      <c r="Y4" s="29"/>
      <c r="Z4" s="29"/>
      <c r="AA4" s="29"/>
      <c r="AB4" s="29"/>
      <c r="AC4" s="29"/>
      <c r="AD4" s="29"/>
      <c r="AE4" s="29"/>
      <c r="AF4" s="29"/>
      <c r="AG4" s="29"/>
      <c r="AI4" s="30">
        <v>1</v>
      </c>
      <c r="AJ4" s="31"/>
      <c r="AK4" s="32"/>
      <c r="AL4" s="32"/>
      <c r="AM4" s="32"/>
      <c r="AN4" s="32"/>
      <c r="AO4" s="32"/>
      <c r="AP4" s="32"/>
      <c r="AQ4" s="32"/>
      <c r="AR4" s="32"/>
      <c r="AS4" s="32"/>
      <c r="AT4" s="32"/>
      <c r="AU4" s="32"/>
      <c r="AV4" s="32"/>
      <c r="AW4" s="33"/>
    </row>
    <row r="5" spans="1:49">
      <c r="A5" s="17"/>
      <c r="B5" s="14"/>
      <c r="C5" s="14"/>
      <c r="D5" s="14"/>
      <c r="E5" s="14"/>
      <c r="F5" s="14"/>
      <c r="G5" s="14"/>
      <c r="H5" s="14"/>
      <c r="I5" s="14"/>
      <c r="J5" s="14"/>
      <c r="K5" s="17"/>
      <c r="M5" s="25"/>
      <c r="N5" s="26"/>
      <c r="O5" s="16"/>
      <c r="P5" s="27"/>
      <c r="Q5" s="26"/>
      <c r="S5" s="16"/>
      <c r="T5" s="32">
        <v>2</v>
      </c>
      <c r="U5" s="29"/>
      <c r="V5" s="29"/>
      <c r="W5" s="29"/>
      <c r="X5" s="29"/>
      <c r="Y5" s="29"/>
      <c r="Z5" s="29"/>
      <c r="AA5" s="29"/>
      <c r="AB5" s="29"/>
      <c r="AC5" s="29"/>
      <c r="AD5" s="29"/>
      <c r="AE5" s="29"/>
      <c r="AF5" s="29"/>
      <c r="AG5" s="29"/>
      <c r="AI5" s="30">
        <v>2</v>
      </c>
      <c r="AJ5" s="31"/>
      <c r="AK5" s="32"/>
      <c r="AL5" s="32"/>
      <c r="AM5" s="32"/>
      <c r="AN5" s="32"/>
      <c r="AO5" s="32"/>
      <c r="AP5" s="32"/>
      <c r="AQ5" s="32"/>
      <c r="AR5" s="32"/>
      <c r="AS5" s="32"/>
      <c r="AT5" s="32"/>
      <c r="AU5" s="32"/>
      <c r="AV5" s="32"/>
      <c r="AW5" s="33"/>
    </row>
    <row r="6" spans="1:49">
      <c r="A6" s="17"/>
      <c r="B6" s="14"/>
      <c r="C6" s="14"/>
      <c r="D6" s="14"/>
      <c r="E6" s="14"/>
      <c r="F6" s="14"/>
      <c r="G6" s="14"/>
      <c r="H6" s="14"/>
      <c r="I6" s="14"/>
      <c r="J6" s="14"/>
      <c r="K6" s="17"/>
      <c r="M6" s="25"/>
      <c r="N6" s="26"/>
      <c r="O6" s="16"/>
      <c r="P6" s="27"/>
      <c r="Q6" s="26"/>
      <c r="S6" s="16"/>
      <c r="T6" s="28">
        <v>3</v>
      </c>
      <c r="U6" s="29"/>
      <c r="V6" s="29"/>
      <c r="W6" s="29"/>
      <c r="X6" s="29"/>
      <c r="Y6" s="29"/>
      <c r="Z6" s="29"/>
      <c r="AA6" s="29"/>
      <c r="AB6" s="29"/>
      <c r="AC6" s="29"/>
      <c r="AD6" s="29"/>
      <c r="AE6" s="29"/>
      <c r="AF6" s="29"/>
      <c r="AG6" s="29"/>
      <c r="AI6" s="30">
        <v>3</v>
      </c>
      <c r="AJ6" s="31"/>
      <c r="AK6" s="32"/>
      <c r="AL6" s="32"/>
      <c r="AM6" s="32"/>
      <c r="AN6" s="32"/>
      <c r="AO6" s="32"/>
      <c r="AP6" s="32"/>
      <c r="AQ6" s="32"/>
      <c r="AR6" s="32"/>
      <c r="AS6" s="32"/>
      <c r="AT6" s="32"/>
      <c r="AU6" s="32"/>
      <c r="AV6" s="32"/>
      <c r="AW6" s="33"/>
    </row>
    <row r="7" spans="1:49">
      <c r="A7" s="17"/>
      <c r="B7" s="14"/>
      <c r="C7" s="14"/>
      <c r="D7" s="14"/>
      <c r="E7" s="14"/>
      <c r="F7" s="14"/>
      <c r="G7" s="14"/>
      <c r="H7" s="14"/>
      <c r="I7" s="14"/>
      <c r="J7" s="14"/>
      <c r="K7" s="17"/>
      <c r="M7" s="25"/>
      <c r="N7" s="26"/>
      <c r="O7" s="16"/>
      <c r="P7" s="27"/>
      <c r="Q7" s="26"/>
      <c r="S7" s="16"/>
      <c r="T7" s="32">
        <v>4</v>
      </c>
      <c r="U7" s="29"/>
      <c r="V7" s="29"/>
      <c r="W7" s="29"/>
      <c r="X7" s="29"/>
      <c r="Y7" s="29"/>
      <c r="Z7" s="29"/>
      <c r="AA7" s="29"/>
      <c r="AB7" s="29"/>
      <c r="AC7" s="29"/>
      <c r="AD7" s="29"/>
      <c r="AE7" s="29"/>
      <c r="AF7" s="29"/>
      <c r="AG7" s="29"/>
      <c r="AI7" s="30">
        <v>4</v>
      </c>
      <c r="AJ7" s="31"/>
      <c r="AK7" s="32"/>
      <c r="AL7" s="32"/>
      <c r="AM7" s="32"/>
      <c r="AN7" s="32"/>
      <c r="AO7" s="32"/>
      <c r="AP7" s="32"/>
      <c r="AQ7" s="32"/>
      <c r="AR7" s="32"/>
      <c r="AS7" s="32"/>
      <c r="AT7" s="32"/>
      <c r="AU7" s="32"/>
      <c r="AV7" s="32"/>
      <c r="AW7" s="33"/>
    </row>
    <row r="8" spans="1:49">
      <c r="A8" s="17"/>
      <c r="B8" s="14"/>
      <c r="C8" s="14"/>
      <c r="D8" s="14"/>
      <c r="E8" s="14"/>
      <c r="F8" s="14"/>
      <c r="G8" s="14"/>
      <c r="H8" s="14"/>
      <c r="I8" s="14"/>
      <c r="J8" s="14"/>
      <c r="K8" s="17"/>
      <c r="M8" s="34"/>
      <c r="N8" s="35"/>
      <c r="O8" s="16"/>
      <c r="P8" s="36"/>
      <c r="Q8" s="35"/>
      <c r="S8" s="16"/>
      <c r="T8" s="28">
        <v>5</v>
      </c>
      <c r="U8" s="29"/>
      <c r="V8" s="29"/>
      <c r="W8" s="29"/>
      <c r="X8" s="29"/>
      <c r="Y8" s="29"/>
      <c r="Z8" s="29"/>
      <c r="AA8" s="29"/>
      <c r="AB8" s="29"/>
      <c r="AC8" s="29"/>
      <c r="AD8" s="29"/>
      <c r="AE8" s="29"/>
      <c r="AF8" s="29"/>
      <c r="AG8" s="29"/>
      <c r="AI8" s="30">
        <v>5</v>
      </c>
      <c r="AJ8" s="31"/>
      <c r="AK8" s="32"/>
      <c r="AL8" s="32"/>
      <c r="AM8" s="32"/>
      <c r="AN8" s="32"/>
      <c r="AO8" s="32"/>
      <c r="AP8" s="32"/>
      <c r="AQ8" s="32"/>
      <c r="AR8" s="32"/>
      <c r="AS8" s="32"/>
      <c r="AT8" s="32"/>
      <c r="AU8" s="32"/>
      <c r="AV8" s="32"/>
      <c r="AW8" s="33"/>
    </row>
    <row r="9" spans="1:49">
      <c r="A9" s="17"/>
      <c r="K9" s="17"/>
      <c r="M9" s="15"/>
      <c r="N9" s="16"/>
      <c r="O9" s="16"/>
      <c r="S9" s="16"/>
      <c r="T9" s="32">
        <v>6</v>
      </c>
      <c r="U9" s="29"/>
      <c r="V9" s="29"/>
      <c r="W9" s="29"/>
      <c r="X9" s="29"/>
      <c r="Y9" s="29"/>
      <c r="Z9" s="29"/>
      <c r="AA9" s="29"/>
      <c r="AB9" s="29"/>
      <c r="AC9" s="29"/>
      <c r="AD9" s="29"/>
      <c r="AE9" s="29"/>
      <c r="AF9" s="29"/>
      <c r="AG9" s="29"/>
      <c r="AI9" s="30">
        <v>6</v>
      </c>
      <c r="AJ9" s="31"/>
      <c r="AK9" s="32"/>
      <c r="AL9" s="32"/>
      <c r="AM9" s="32"/>
      <c r="AN9" s="32"/>
      <c r="AO9" s="32"/>
      <c r="AP9" s="32"/>
      <c r="AQ9" s="32"/>
      <c r="AR9" s="32"/>
      <c r="AS9" s="32"/>
      <c r="AT9" s="32"/>
      <c r="AU9" s="32"/>
      <c r="AV9" s="32"/>
      <c r="AW9" s="33"/>
    </row>
    <row r="10" spans="1:49" ht="15" customHeight="1">
      <c r="A10" s="17"/>
      <c r="C10" s="8" t="s">
        <v>2</v>
      </c>
      <c r="D10" s="7" t="s">
        <v>35</v>
      </c>
      <c r="E10" s="6" t="s">
        <v>1</v>
      </c>
      <c r="G10" s="13" t="s">
        <v>36</v>
      </c>
      <c r="H10" s="7" t="s">
        <v>35</v>
      </c>
      <c r="I10" s="6" t="s">
        <v>1</v>
      </c>
      <c r="K10" s="17"/>
      <c r="M10" s="5" t="s">
        <v>37</v>
      </c>
      <c r="N10" s="4"/>
      <c r="O10" s="3" t="s">
        <v>38</v>
      </c>
      <c r="P10" s="3"/>
      <c r="Q10" s="3"/>
      <c r="R10" s="38"/>
      <c r="S10" s="16"/>
      <c r="T10" s="28">
        <v>7</v>
      </c>
      <c r="U10" s="29"/>
      <c r="V10" s="29"/>
      <c r="W10" s="29"/>
      <c r="X10" s="29"/>
      <c r="Y10" s="29"/>
      <c r="Z10" s="29"/>
      <c r="AA10" s="29"/>
      <c r="AB10" s="29"/>
      <c r="AC10" s="29"/>
      <c r="AD10" s="29"/>
      <c r="AE10" s="29"/>
      <c r="AF10" s="29"/>
      <c r="AG10" s="29"/>
      <c r="AI10" s="30">
        <v>7</v>
      </c>
      <c r="AJ10" s="31"/>
      <c r="AK10" s="32"/>
      <c r="AL10" s="32"/>
      <c r="AM10" s="32"/>
      <c r="AN10" s="32"/>
      <c r="AO10" s="32"/>
      <c r="AP10" s="32"/>
      <c r="AQ10" s="32"/>
      <c r="AR10" s="32"/>
      <c r="AS10" s="32"/>
      <c r="AT10" s="32"/>
      <c r="AU10" s="32"/>
      <c r="AV10" s="32"/>
      <c r="AW10" s="33"/>
    </row>
    <row r="11" spans="1:49" ht="15" customHeight="1">
      <c r="A11" s="17"/>
      <c r="C11" s="8"/>
      <c r="D11" s="7"/>
      <c r="E11" s="6"/>
      <c r="G11" s="13"/>
      <c r="H11" s="7"/>
      <c r="I11" s="6"/>
      <c r="K11" s="17"/>
      <c r="M11" s="5"/>
      <c r="N11" s="4"/>
      <c r="O11" s="4"/>
      <c r="P11" s="3"/>
      <c r="Q11" s="3"/>
      <c r="R11" s="38"/>
      <c r="S11" s="16"/>
      <c r="T11" s="32">
        <v>8</v>
      </c>
      <c r="U11" s="29"/>
      <c r="V11" s="29"/>
      <c r="W11" s="29"/>
      <c r="X11" s="29"/>
      <c r="Y11" s="29"/>
      <c r="Z11" s="29"/>
      <c r="AA11" s="29"/>
      <c r="AB11" s="29"/>
      <c r="AC11" s="29"/>
      <c r="AD11" s="29"/>
      <c r="AE11" s="29"/>
      <c r="AF11" s="29"/>
      <c r="AG11" s="29"/>
      <c r="AI11" s="30">
        <v>8</v>
      </c>
      <c r="AJ11" s="31"/>
      <c r="AK11" s="32"/>
      <c r="AL11" s="32"/>
      <c r="AM11" s="32"/>
      <c r="AN11" s="32"/>
      <c r="AO11" s="32"/>
      <c r="AP11" s="32"/>
      <c r="AQ11" s="32"/>
      <c r="AR11" s="32"/>
      <c r="AS11" s="32"/>
      <c r="AT11" s="32"/>
      <c r="AU11" s="32"/>
      <c r="AV11" s="32"/>
      <c r="AW11" s="33"/>
    </row>
    <row r="12" spans="1:49" ht="16.5" customHeight="1">
      <c r="A12" s="17"/>
      <c r="C12" s="25">
        <v>18</v>
      </c>
      <c r="D12" s="16">
        <v>0.1</v>
      </c>
      <c r="E12" s="39">
        <v>0</v>
      </c>
      <c r="G12" s="25">
        <v>1</v>
      </c>
      <c r="H12" s="16">
        <v>0.1</v>
      </c>
      <c r="I12" s="39">
        <v>0</v>
      </c>
      <c r="K12" s="17"/>
      <c r="M12" s="2" t="s">
        <v>39</v>
      </c>
      <c r="N12" s="1"/>
      <c r="O12" s="153" t="s">
        <v>40</v>
      </c>
      <c r="P12" s="153"/>
      <c r="Q12" s="153"/>
      <c r="R12" s="38"/>
      <c r="S12" s="16"/>
      <c r="T12" s="28">
        <v>9</v>
      </c>
      <c r="U12" s="29"/>
      <c r="V12" s="29"/>
      <c r="W12" s="29"/>
      <c r="X12" s="29"/>
      <c r="Y12" s="29"/>
      <c r="Z12" s="29"/>
      <c r="AA12" s="29"/>
      <c r="AB12" s="29"/>
      <c r="AC12" s="29"/>
      <c r="AD12" s="29"/>
      <c r="AE12" s="29"/>
      <c r="AF12" s="29"/>
      <c r="AG12" s="29"/>
      <c r="AI12" s="30">
        <v>9</v>
      </c>
      <c r="AJ12" s="31"/>
      <c r="AK12" s="32"/>
      <c r="AL12" s="32"/>
      <c r="AM12" s="32"/>
      <c r="AN12" s="32"/>
      <c r="AO12" s="32"/>
      <c r="AP12" s="32"/>
      <c r="AQ12" s="32"/>
      <c r="AR12" s="32"/>
      <c r="AS12" s="32"/>
      <c r="AT12" s="32"/>
      <c r="AU12" s="32"/>
      <c r="AV12" s="32"/>
      <c r="AW12" s="33"/>
    </row>
    <row r="13" spans="1:49" ht="15" customHeight="1">
      <c r="A13" s="17"/>
      <c r="C13" s="25">
        <v>22</v>
      </c>
      <c r="D13" s="16">
        <v>0.25</v>
      </c>
      <c r="E13" s="39">
        <f>D12</f>
        <v>0.1</v>
      </c>
      <c r="G13" s="25">
        <v>2</v>
      </c>
      <c r="H13" s="16">
        <v>0.15</v>
      </c>
      <c r="I13" s="39">
        <f>H12+I12</f>
        <v>0.1</v>
      </c>
      <c r="K13" s="17"/>
      <c r="M13" s="2"/>
      <c r="N13" s="1"/>
      <c r="O13" s="1"/>
      <c r="P13" s="153"/>
      <c r="Q13" s="153"/>
      <c r="R13" s="38"/>
      <c r="S13" s="16"/>
      <c r="T13" s="32">
        <v>10</v>
      </c>
      <c r="U13" s="29"/>
      <c r="V13" s="29"/>
      <c r="W13" s="29"/>
      <c r="X13" s="29"/>
      <c r="Y13" s="29"/>
      <c r="Z13" s="29"/>
      <c r="AA13" s="29"/>
      <c r="AB13" s="29"/>
      <c r="AC13" s="29"/>
      <c r="AD13" s="29"/>
      <c r="AE13" s="29"/>
      <c r="AF13" s="29"/>
      <c r="AG13" s="29"/>
      <c r="AI13" s="30">
        <v>10</v>
      </c>
      <c r="AJ13" s="31"/>
      <c r="AK13" s="32"/>
      <c r="AL13" s="32"/>
      <c r="AM13" s="32"/>
      <c r="AN13" s="32"/>
      <c r="AO13" s="32"/>
      <c r="AP13" s="32"/>
      <c r="AQ13" s="32"/>
      <c r="AR13" s="32"/>
      <c r="AS13" s="32"/>
      <c r="AT13" s="32"/>
      <c r="AU13" s="32"/>
      <c r="AV13" s="32"/>
      <c r="AW13" s="33"/>
    </row>
    <row r="14" spans="1:49">
      <c r="A14" s="17"/>
      <c r="C14" s="25">
        <v>26</v>
      </c>
      <c r="D14" s="16">
        <v>0.15</v>
      </c>
      <c r="E14" s="39">
        <f>D13+E13</f>
        <v>0.35</v>
      </c>
      <c r="G14" s="25">
        <v>3</v>
      </c>
      <c r="H14" s="16">
        <v>0.3</v>
      </c>
      <c r="I14" s="39">
        <f>H13+I13</f>
        <v>0.25</v>
      </c>
      <c r="K14" s="17"/>
      <c r="T14" s="28">
        <v>11</v>
      </c>
      <c r="U14" s="29"/>
      <c r="V14" s="29"/>
      <c r="W14" s="29"/>
      <c r="X14" s="29"/>
      <c r="Y14" s="29"/>
      <c r="Z14" s="29"/>
      <c r="AA14" s="29"/>
      <c r="AB14" s="29"/>
      <c r="AC14" s="29"/>
      <c r="AD14" s="29"/>
      <c r="AE14" s="29"/>
      <c r="AF14" s="29"/>
      <c r="AG14" s="29"/>
      <c r="AI14" s="30">
        <v>11</v>
      </c>
      <c r="AJ14" s="31"/>
      <c r="AK14" s="32"/>
      <c r="AL14" s="32"/>
      <c r="AM14" s="32"/>
      <c r="AN14" s="32"/>
      <c r="AO14" s="32"/>
      <c r="AP14" s="32"/>
      <c r="AQ14" s="32"/>
      <c r="AR14" s="32"/>
      <c r="AS14" s="32"/>
      <c r="AT14" s="32"/>
      <c r="AU14" s="32"/>
      <c r="AV14" s="32"/>
      <c r="AW14" s="33"/>
    </row>
    <row r="15" spans="1:49">
      <c r="A15" s="17"/>
      <c r="C15" s="25">
        <v>30</v>
      </c>
      <c r="D15" s="16">
        <v>0.3</v>
      </c>
      <c r="E15" s="39">
        <f>D14+E14</f>
        <v>0.5</v>
      </c>
      <c r="G15" s="25">
        <v>4</v>
      </c>
      <c r="H15" s="16">
        <v>0.2</v>
      </c>
      <c r="I15" s="39">
        <f>H14+I14</f>
        <v>0.55000000000000004</v>
      </c>
      <c r="K15" s="17"/>
      <c r="M15" s="41" t="s">
        <v>41</v>
      </c>
      <c r="N15" s="42"/>
      <c r="O15" s="154" t="s">
        <v>42</v>
      </c>
      <c r="P15" s="154"/>
      <c r="Q15" s="154"/>
      <c r="R15" s="43"/>
      <c r="T15" s="32">
        <v>12</v>
      </c>
      <c r="U15" s="29"/>
      <c r="V15" s="29"/>
      <c r="W15" s="29"/>
      <c r="X15" s="29"/>
      <c r="Y15" s="29"/>
      <c r="Z15" s="29"/>
      <c r="AA15" s="29"/>
      <c r="AB15" s="29"/>
      <c r="AC15" s="29"/>
      <c r="AD15" s="29"/>
      <c r="AE15" s="29"/>
      <c r="AF15" s="29"/>
      <c r="AG15" s="29"/>
      <c r="AI15" s="30">
        <v>12</v>
      </c>
      <c r="AJ15" s="31"/>
      <c r="AK15" s="32"/>
      <c r="AL15" s="32"/>
      <c r="AM15" s="32"/>
      <c r="AN15" s="32"/>
      <c r="AO15" s="32"/>
      <c r="AP15" s="32"/>
      <c r="AQ15" s="32"/>
      <c r="AR15" s="32"/>
      <c r="AS15" s="32"/>
      <c r="AT15" s="32"/>
      <c r="AU15" s="32"/>
      <c r="AV15" s="32"/>
      <c r="AW15" s="33"/>
    </row>
    <row r="16" spans="1:49">
      <c r="A16" s="17"/>
      <c r="C16" s="34">
        <v>34</v>
      </c>
      <c r="D16" s="44">
        <v>0.2</v>
      </c>
      <c r="E16" s="45">
        <f>D15+E15</f>
        <v>0.8</v>
      </c>
      <c r="G16" s="34">
        <v>5</v>
      </c>
      <c r="H16" s="44">
        <v>0.25</v>
      </c>
      <c r="I16" s="45">
        <f>H15+I15</f>
        <v>0.75</v>
      </c>
      <c r="K16" s="17"/>
      <c r="M16" s="25" t="s">
        <v>43</v>
      </c>
      <c r="N16" s="46">
        <v>10</v>
      </c>
      <c r="O16" s="155" t="s">
        <v>44</v>
      </c>
      <c r="P16" s="155"/>
      <c r="Q16" s="155"/>
      <c r="R16" s="43"/>
      <c r="T16" s="28">
        <v>13</v>
      </c>
      <c r="U16" s="29"/>
      <c r="V16" s="29"/>
      <c r="W16" s="29"/>
      <c r="X16" s="29"/>
      <c r="Y16" s="29"/>
      <c r="Z16" s="29"/>
      <c r="AA16" s="29"/>
      <c r="AB16" s="29"/>
      <c r="AC16" s="29"/>
      <c r="AD16" s="29"/>
      <c r="AE16" s="29"/>
      <c r="AF16" s="29"/>
      <c r="AG16" s="29"/>
      <c r="AI16" s="30">
        <v>13</v>
      </c>
      <c r="AJ16" s="31"/>
      <c r="AK16" s="32"/>
      <c r="AL16" s="32"/>
      <c r="AM16" s="32"/>
      <c r="AN16" s="32"/>
      <c r="AO16" s="32"/>
      <c r="AP16" s="32"/>
      <c r="AQ16" s="32"/>
      <c r="AR16" s="32"/>
      <c r="AS16" s="32"/>
      <c r="AT16" s="32"/>
      <c r="AU16" s="32"/>
      <c r="AV16" s="32"/>
      <c r="AW16" s="33"/>
    </row>
    <row r="17" spans="1:49" ht="16.5" customHeight="1">
      <c r="A17" s="17"/>
      <c r="K17" s="17"/>
      <c r="M17" s="34" t="s">
        <v>45</v>
      </c>
      <c r="N17" s="40"/>
      <c r="O17" s="156" t="s">
        <v>46</v>
      </c>
      <c r="P17" s="156"/>
      <c r="Q17" s="156"/>
      <c r="R17" s="43"/>
      <c r="T17" s="32">
        <v>14</v>
      </c>
      <c r="U17" s="29"/>
      <c r="V17" s="29"/>
      <c r="W17" s="29"/>
      <c r="X17" s="29"/>
      <c r="Y17" s="29"/>
      <c r="Z17" s="29"/>
      <c r="AA17" s="29"/>
      <c r="AB17" s="29"/>
      <c r="AC17" s="29"/>
      <c r="AD17" s="29"/>
      <c r="AE17" s="29"/>
      <c r="AF17" s="29"/>
      <c r="AG17" s="29"/>
      <c r="AI17" s="30">
        <v>14</v>
      </c>
      <c r="AJ17" s="31"/>
      <c r="AK17" s="32"/>
      <c r="AL17" s="32"/>
      <c r="AM17" s="32"/>
      <c r="AN17" s="32"/>
      <c r="AO17" s="32"/>
      <c r="AP17" s="32"/>
      <c r="AQ17" s="32"/>
      <c r="AR17" s="32"/>
      <c r="AS17" s="32"/>
      <c r="AT17" s="32"/>
      <c r="AU17" s="32"/>
      <c r="AV17" s="32"/>
      <c r="AW17" s="33"/>
    </row>
    <row r="18" spans="1:49">
      <c r="A18" s="17"/>
      <c r="D18" s="157" t="s">
        <v>47</v>
      </c>
      <c r="E18" s="157"/>
      <c r="F18" s="157"/>
      <c r="G18" s="47"/>
      <c r="H18" s="48"/>
      <c r="K18" s="17"/>
      <c r="R18" s="19"/>
      <c r="T18" s="28">
        <v>15</v>
      </c>
      <c r="U18" s="29"/>
      <c r="V18" s="29"/>
      <c r="W18" s="29"/>
      <c r="X18" s="29"/>
      <c r="Y18" s="29"/>
      <c r="Z18" s="29"/>
      <c r="AA18" s="29"/>
      <c r="AB18" s="29"/>
      <c r="AC18" s="29"/>
      <c r="AD18" s="29"/>
      <c r="AE18" s="29"/>
      <c r="AF18" s="29"/>
      <c r="AG18" s="29"/>
      <c r="AI18" s="30">
        <v>15</v>
      </c>
      <c r="AJ18" s="31"/>
      <c r="AK18" s="32"/>
      <c r="AL18" s="32"/>
      <c r="AM18" s="32"/>
      <c r="AN18" s="32"/>
      <c r="AO18" s="32"/>
      <c r="AP18" s="32"/>
      <c r="AQ18" s="32"/>
      <c r="AR18" s="32"/>
      <c r="AS18" s="32"/>
      <c r="AT18" s="32"/>
      <c r="AU18" s="32"/>
      <c r="AV18" s="32"/>
      <c r="AW18" s="33"/>
    </row>
    <row r="19" spans="1:49" ht="15.75" customHeight="1">
      <c r="A19" s="17"/>
      <c r="D19" s="158" t="s">
        <v>48</v>
      </c>
      <c r="E19" s="158"/>
      <c r="F19" s="158"/>
      <c r="G19" s="49"/>
      <c r="H19" s="50"/>
      <c r="K19" s="17"/>
      <c r="M19" s="159" t="s">
        <v>43</v>
      </c>
      <c r="N19" s="160" t="s">
        <v>2</v>
      </c>
      <c r="O19" s="160"/>
      <c r="P19" s="160" t="s">
        <v>49</v>
      </c>
      <c r="Q19" s="11" t="s">
        <v>50</v>
      </c>
      <c r="T19" s="32">
        <v>16</v>
      </c>
      <c r="U19" s="29"/>
      <c r="V19" s="29"/>
      <c r="W19" s="29"/>
      <c r="X19" s="29"/>
      <c r="Y19" s="29"/>
      <c r="Z19" s="29"/>
      <c r="AA19" s="29"/>
      <c r="AB19" s="29"/>
      <c r="AC19" s="29"/>
      <c r="AD19" s="29"/>
      <c r="AE19" s="29"/>
      <c r="AF19" s="29"/>
      <c r="AG19" s="29"/>
      <c r="AI19" s="30">
        <v>16</v>
      </c>
      <c r="AJ19" s="31"/>
      <c r="AK19" s="32"/>
      <c r="AL19" s="32"/>
      <c r="AM19" s="32"/>
      <c r="AN19" s="32"/>
      <c r="AO19" s="32"/>
      <c r="AP19" s="32"/>
      <c r="AQ19" s="32"/>
      <c r="AR19" s="32"/>
      <c r="AS19" s="32"/>
      <c r="AT19" s="32"/>
      <c r="AU19" s="32"/>
      <c r="AV19" s="32"/>
      <c r="AW19" s="33"/>
    </row>
    <row r="20" spans="1:49" ht="16.5" customHeight="1">
      <c r="A20" s="17"/>
      <c r="D20" s="161" t="s">
        <v>51</v>
      </c>
      <c r="E20" s="161"/>
      <c r="F20" s="161"/>
      <c r="G20" s="16"/>
      <c r="H20" s="50" t="s">
        <v>52</v>
      </c>
      <c r="K20" s="17"/>
      <c r="M20" s="159"/>
      <c r="N20" s="160"/>
      <c r="O20" s="160"/>
      <c r="P20" s="160"/>
      <c r="Q20" s="11"/>
      <c r="T20" s="28">
        <v>17</v>
      </c>
      <c r="U20" s="29"/>
      <c r="V20" s="29"/>
      <c r="W20" s="29"/>
      <c r="X20" s="29"/>
      <c r="Y20" s="29"/>
      <c r="Z20" s="29"/>
      <c r="AA20" s="29"/>
      <c r="AB20" s="29"/>
      <c r="AC20" s="29"/>
      <c r="AD20" s="29"/>
      <c r="AE20" s="29"/>
      <c r="AF20" s="29"/>
      <c r="AG20" s="29"/>
      <c r="AI20" s="30">
        <v>17</v>
      </c>
      <c r="AJ20" s="31"/>
      <c r="AK20" s="32"/>
      <c r="AL20" s="32"/>
      <c r="AM20" s="32"/>
      <c r="AN20" s="32"/>
      <c r="AO20" s="32"/>
      <c r="AP20" s="32"/>
      <c r="AQ20" s="32"/>
      <c r="AR20" s="32"/>
      <c r="AS20" s="32"/>
      <c r="AT20" s="32"/>
      <c r="AU20" s="32"/>
      <c r="AV20" s="32"/>
      <c r="AW20" s="33"/>
    </row>
    <row r="21" spans="1:49" ht="16.5" customHeight="1">
      <c r="A21" s="17"/>
      <c r="D21" s="161" t="s">
        <v>53</v>
      </c>
      <c r="E21" s="161"/>
      <c r="F21" s="161"/>
      <c r="G21" s="16"/>
      <c r="H21" s="50" t="s">
        <v>54</v>
      </c>
      <c r="K21" s="17"/>
      <c r="M21" s="25"/>
      <c r="N21" s="162"/>
      <c r="O21" s="162"/>
      <c r="Q21" s="51"/>
      <c r="R21" s="52">
        <f t="shared" ref="R21:R31" si="0">IF(Q21&gt;=$G$23,1,0)</f>
        <v>1</v>
      </c>
      <c r="T21" s="32">
        <v>18</v>
      </c>
      <c r="U21" s="29"/>
      <c r="V21" s="29"/>
      <c r="W21" s="29"/>
      <c r="X21" s="29"/>
      <c r="Y21" s="29"/>
      <c r="Z21" s="29"/>
      <c r="AA21" s="29"/>
      <c r="AB21" s="29"/>
      <c r="AC21" s="29"/>
      <c r="AD21" s="29"/>
      <c r="AE21" s="29"/>
      <c r="AF21" s="29"/>
      <c r="AG21" s="29"/>
      <c r="AI21" s="30">
        <v>18</v>
      </c>
      <c r="AJ21" s="31"/>
      <c r="AK21" s="32"/>
      <c r="AL21" s="32"/>
      <c r="AM21" s="32"/>
      <c r="AN21" s="32"/>
      <c r="AO21" s="32"/>
      <c r="AP21" s="32"/>
      <c r="AQ21" s="32"/>
      <c r="AR21" s="32"/>
      <c r="AS21" s="32"/>
      <c r="AT21" s="32"/>
      <c r="AU21" s="32"/>
      <c r="AV21" s="32"/>
      <c r="AW21" s="33"/>
    </row>
    <row r="22" spans="1:49" ht="13.5" customHeight="1">
      <c r="A22" s="17"/>
      <c r="D22" s="158" t="s">
        <v>55</v>
      </c>
      <c r="E22" s="158"/>
      <c r="F22" s="158"/>
      <c r="G22" s="53"/>
      <c r="H22" s="50" t="s">
        <v>54</v>
      </c>
      <c r="K22" s="17"/>
      <c r="M22" s="25"/>
      <c r="N22" s="162"/>
      <c r="O22" s="162"/>
      <c r="Q22" s="51"/>
      <c r="R22" s="52">
        <f t="shared" si="0"/>
        <v>1</v>
      </c>
      <c r="T22" s="28">
        <v>19</v>
      </c>
      <c r="U22" s="29"/>
      <c r="V22" s="29"/>
      <c r="W22" s="29"/>
      <c r="X22" s="29"/>
      <c r="Y22" s="29"/>
      <c r="Z22" s="29"/>
      <c r="AA22" s="29"/>
      <c r="AB22" s="29"/>
      <c r="AC22" s="29"/>
      <c r="AD22" s="29"/>
      <c r="AE22" s="29"/>
      <c r="AF22" s="29"/>
      <c r="AG22" s="29"/>
      <c r="AI22" s="30">
        <v>19</v>
      </c>
      <c r="AJ22" s="31"/>
      <c r="AK22" s="32"/>
      <c r="AL22" s="32"/>
      <c r="AM22" s="32"/>
      <c r="AN22" s="32"/>
      <c r="AO22" s="32"/>
      <c r="AP22" s="32"/>
      <c r="AQ22" s="32"/>
      <c r="AR22" s="32"/>
      <c r="AS22" s="32"/>
      <c r="AT22" s="32"/>
      <c r="AU22" s="32"/>
      <c r="AV22" s="32"/>
      <c r="AW22" s="33"/>
    </row>
    <row r="23" spans="1:49">
      <c r="A23" s="17"/>
      <c r="D23" s="163" t="s">
        <v>56</v>
      </c>
      <c r="E23" s="163"/>
      <c r="F23" s="163"/>
      <c r="G23" s="54"/>
      <c r="H23" s="55"/>
      <c r="K23" s="17"/>
      <c r="M23" s="25"/>
      <c r="N23" s="162"/>
      <c r="O23" s="162"/>
      <c r="Q23" s="51"/>
      <c r="R23" s="52">
        <f t="shared" si="0"/>
        <v>1</v>
      </c>
      <c r="T23" s="32">
        <v>20</v>
      </c>
      <c r="U23" s="29"/>
      <c r="V23" s="29"/>
      <c r="W23" s="29"/>
      <c r="X23" s="29"/>
      <c r="Y23" s="29"/>
      <c r="Z23" s="29"/>
      <c r="AA23" s="29"/>
      <c r="AB23" s="29"/>
      <c r="AC23" s="29"/>
      <c r="AD23" s="29"/>
      <c r="AE23" s="29"/>
      <c r="AF23" s="29"/>
      <c r="AG23" s="29"/>
      <c r="AI23" s="30">
        <v>20</v>
      </c>
      <c r="AJ23" s="31"/>
      <c r="AK23" s="32"/>
      <c r="AL23" s="32"/>
      <c r="AM23" s="32"/>
      <c r="AN23" s="32"/>
      <c r="AO23" s="32"/>
      <c r="AP23" s="32"/>
      <c r="AQ23" s="32"/>
      <c r="AR23" s="32"/>
      <c r="AS23" s="32"/>
      <c r="AT23" s="32"/>
      <c r="AU23" s="32"/>
      <c r="AV23" s="32"/>
      <c r="AW23" s="33"/>
    </row>
    <row r="24" spans="1:49">
      <c r="A24" s="17"/>
      <c r="B24" s="17"/>
      <c r="C24" s="17"/>
      <c r="D24" s="17"/>
      <c r="E24" s="17"/>
      <c r="F24" s="17"/>
      <c r="G24" s="17"/>
      <c r="H24" s="17"/>
      <c r="I24" s="17"/>
      <c r="J24" s="17"/>
      <c r="K24" s="17"/>
      <c r="L24" s="56">
        <f t="shared" ref="L24:L34" si="1">IF(S24=1,N21,0)</f>
        <v>0</v>
      </c>
      <c r="M24" s="25"/>
      <c r="N24" s="162"/>
      <c r="O24" s="162"/>
      <c r="Q24" s="51"/>
      <c r="R24" s="52">
        <f t="shared" si="0"/>
        <v>1</v>
      </c>
      <c r="S24" s="52">
        <f>R21</f>
        <v>1</v>
      </c>
      <c r="T24" s="28">
        <v>21</v>
      </c>
      <c r="U24" s="29"/>
      <c r="V24" s="29"/>
      <c r="W24" s="29"/>
      <c r="X24" s="29"/>
      <c r="Y24" s="29"/>
      <c r="Z24" s="29"/>
      <c r="AA24" s="29"/>
      <c r="AB24" s="29"/>
      <c r="AC24" s="29"/>
      <c r="AD24" s="29"/>
      <c r="AE24" s="29"/>
      <c r="AF24" s="29"/>
      <c r="AG24" s="29"/>
      <c r="AI24" s="30">
        <v>21</v>
      </c>
      <c r="AJ24" s="31"/>
      <c r="AK24" s="32"/>
      <c r="AL24" s="32"/>
      <c r="AM24" s="32"/>
      <c r="AN24" s="32"/>
      <c r="AO24" s="32"/>
      <c r="AP24" s="32"/>
      <c r="AQ24" s="32"/>
      <c r="AR24" s="32"/>
      <c r="AS24" s="32"/>
      <c r="AT24" s="32"/>
      <c r="AU24" s="32"/>
      <c r="AV24" s="32"/>
      <c r="AW24" s="33"/>
    </row>
    <row r="25" spans="1:49">
      <c r="L25" s="56">
        <f t="shared" si="1"/>
        <v>0</v>
      </c>
      <c r="M25" s="25"/>
      <c r="N25" s="162"/>
      <c r="O25" s="162"/>
      <c r="Q25" s="51"/>
      <c r="R25" s="52">
        <f t="shared" si="0"/>
        <v>1</v>
      </c>
      <c r="S25" s="52">
        <f t="shared" ref="S25:S34" si="2">S24+R22</f>
        <v>2</v>
      </c>
      <c r="T25" s="32">
        <v>22</v>
      </c>
      <c r="U25" s="29"/>
      <c r="V25" s="29"/>
      <c r="W25" s="29"/>
      <c r="X25" s="29"/>
      <c r="Y25" s="29"/>
      <c r="Z25" s="29"/>
      <c r="AA25" s="29"/>
      <c r="AB25" s="29"/>
      <c r="AC25" s="29"/>
      <c r="AD25" s="29"/>
      <c r="AE25" s="29"/>
      <c r="AF25" s="29"/>
      <c r="AG25" s="29"/>
      <c r="AI25" s="30">
        <v>22</v>
      </c>
      <c r="AJ25" s="31"/>
      <c r="AK25" s="32"/>
      <c r="AL25" s="32"/>
      <c r="AM25" s="32"/>
      <c r="AN25" s="32"/>
      <c r="AO25" s="32"/>
      <c r="AP25" s="32"/>
      <c r="AQ25" s="32"/>
      <c r="AR25" s="32"/>
      <c r="AS25" s="32"/>
      <c r="AT25" s="32"/>
      <c r="AU25" s="32"/>
      <c r="AV25" s="32"/>
      <c r="AW25" s="33"/>
    </row>
    <row r="26" spans="1:49" ht="15" customHeight="1">
      <c r="D26" s="164" t="s">
        <v>57</v>
      </c>
      <c r="E26" s="164"/>
      <c r="F26" s="164"/>
      <c r="G26" s="57"/>
      <c r="L26" s="56">
        <f t="shared" si="1"/>
        <v>0</v>
      </c>
      <c r="M26" s="25"/>
      <c r="N26" s="162"/>
      <c r="O26" s="162"/>
      <c r="Q26" s="51"/>
      <c r="R26" s="52">
        <f t="shared" si="0"/>
        <v>1</v>
      </c>
      <c r="S26" s="52">
        <f t="shared" si="2"/>
        <v>3</v>
      </c>
      <c r="T26" s="28">
        <v>23</v>
      </c>
      <c r="U26" s="29"/>
      <c r="V26" s="29"/>
      <c r="W26" s="29"/>
      <c r="X26" s="29"/>
      <c r="Y26" s="29"/>
      <c r="Z26" s="29"/>
      <c r="AA26" s="29"/>
      <c r="AB26" s="29"/>
      <c r="AC26" s="29"/>
      <c r="AD26" s="29"/>
      <c r="AE26" s="29"/>
      <c r="AF26" s="29"/>
      <c r="AG26" s="29"/>
      <c r="AI26" s="30">
        <v>23</v>
      </c>
      <c r="AJ26" s="31"/>
      <c r="AK26" s="32"/>
      <c r="AL26" s="32"/>
      <c r="AM26" s="32"/>
      <c r="AN26" s="32"/>
      <c r="AO26" s="32"/>
      <c r="AP26" s="32"/>
      <c r="AQ26" s="32"/>
      <c r="AR26" s="32"/>
      <c r="AS26" s="32"/>
      <c r="AT26" s="32"/>
      <c r="AU26" s="32"/>
      <c r="AV26" s="32"/>
      <c r="AW26" s="33"/>
    </row>
    <row r="27" spans="1:49">
      <c r="D27" s="165" t="s">
        <v>58</v>
      </c>
      <c r="E27" s="165"/>
      <c r="F27" s="165"/>
      <c r="G27" s="58"/>
      <c r="L27" s="56">
        <f t="shared" si="1"/>
        <v>0</v>
      </c>
      <c r="M27" s="25"/>
      <c r="N27" s="162"/>
      <c r="O27" s="162"/>
      <c r="Q27" s="51"/>
      <c r="R27" s="52">
        <f t="shared" si="0"/>
        <v>1</v>
      </c>
      <c r="S27" s="52">
        <f t="shared" si="2"/>
        <v>4</v>
      </c>
      <c r="T27" s="32">
        <v>24</v>
      </c>
      <c r="U27" s="29"/>
      <c r="V27" s="29"/>
      <c r="W27" s="29"/>
      <c r="X27" s="29"/>
      <c r="Y27" s="29"/>
      <c r="Z27" s="29"/>
      <c r="AA27" s="29"/>
      <c r="AB27" s="29"/>
      <c r="AC27" s="29"/>
      <c r="AD27" s="29"/>
      <c r="AE27" s="29"/>
      <c r="AF27" s="29"/>
      <c r="AG27" s="29"/>
      <c r="AI27" s="30">
        <v>24</v>
      </c>
      <c r="AJ27" s="31"/>
      <c r="AK27" s="32"/>
      <c r="AL27" s="32"/>
      <c r="AM27" s="32"/>
      <c r="AN27" s="32"/>
      <c r="AO27" s="32"/>
      <c r="AP27" s="32"/>
      <c r="AQ27" s="32"/>
      <c r="AR27" s="32"/>
      <c r="AS27" s="32"/>
      <c r="AT27" s="32"/>
      <c r="AU27" s="32"/>
      <c r="AV27" s="32"/>
      <c r="AW27" s="33"/>
    </row>
    <row r="28" spans="1:49">
      <c r="D28" s="165" t="s">
        <v>59</v>
      </c>
      <c r="E28" s="165"/>
      <c r="F28" s="165"/>
      <c r="G28" s="58"/>
      <c r="L28" s="56">
        <f t="shared" si="1"/>
        <v>0</v>
      </c>
      <c r="M28" s="25"/>
      <c r="N28" s="162"/>
      <c r="O28" s="162"/>
      <c r="Q28" s="51"/>
      <c r="R28" s="52">
        <f t="shared" si="0"/>
        <v>1</v>
      </c>
      <c r="S28" s="52">
        <f t="shared" si="2"/>
        <v>5</v>
      </c>
      <c r="T28" s="28">
        <v>25</v>
      </c>
      <c r="U28" s="29"/>
      <c r="V28" s="29"/>
      <c r="W28" s="29"/>
      <c r="X28" s="29"/>
      <c r="Y28" s="29"/>
      <c r="Z28" s="29"/>
      <c r="AA28" s="29"/>
      <c r="AB28" s="29"/>
      <c r="AC28" s="29"/>
      <c r="AD28" s="29"/>
      <c r="AE28" s="29"/>
      <c r="AF28" s="29"/>
      <c r="AG28" s="29"/>
      <c r="AI28" s="30">
        <v>25</v>
      </c>
      <c r="AJ28" s="31"/>
      <c r="AK28" s="32"/>
      <c r="AL28" s="32"/>
      <c r="AM28" s="32"/>
      <c r="AN28" s="32"/>
      <c r="AO28" s="32"/>
      <c r="AP28" s="32"/>
      <c r="AQ28" s="32"/>
      <c r="AR28" s="32"/>
      <c r="AS28" s="32"/>
      <c r="AT28" s="32"/>
      <c r="AU28" s="32"/>
      <c r="AV28" s="32"/>
      <c r="AW28" s="33"/>
    </row>
    <row r="29" spans="1:49">
      <c r="D29" s="166" t="s">
        <v>60</v>
      </c>
      <c r="E29" s="166"/>
      <c r="F29" s="166"/>
      <c r="G29" s="59"/>
      <c r="L29" s="56">
        <f t="shared" si="1"/>
        <v>0</v>
      </c>
      <c r="M29" s="25"/>
      <c r="N29" s="162"/>
      <c r="O29" s="162"/>
      <c r="Q29" s="51"/>
      <c r="R29" s="52">
        <f t="shared" si="0"/>
        <v>1</v>
      </c>
      <c r="S29" s="52">
        <f t="shared" si="2"/>
        <v>6</v>
      </c>
      <c r="T29" s="32">
        <v>26</v>
      </c>
      <c r="U29" s="29"/>
      <c r="V29" s="29"/>
      <c r="W29" s="29"/>
      <c r="X29" s="29"/>
      <c r="Y29" s="29"/>
      <c r="Z29" s="29"/>
      <c r="AA29" s="29"/>
      <c r="AB29" s="29"/>
      <c r="AC29" s="29"/>
      <c r="AD29" s="29"/>
      <c r="AE29" s="29"/>
      <c r="AF29" s="29"/>
      <c r="AG29" s="29"/>
      <c r="AI29" s="30">
        <v>26</v>
      </c>
      <c r="AJ29" s="31"/>
      <c r="AK29" s="32"/>
      <c r="AL29" s="32"/>
      <c r="AM29" s="32"/>
      <c r="AN29" s="32"/>
      <c r="AO29" s="32"/>
      <c r="AP29" s="32"/>
      <c r="AQ29" s="32"/>
      <c r="AR29" s="32"/>
      <c r="AS29" s="32"/>
      <c r="AT29" s="32"/>
      <c r="AU29" s="32"/>
      <c r="AV29" s="32"/>
      <c r="AW29" s="33"/>
    </row>
    <row r="30" spans="1:49">
      <c r="L30" s="56">
        <f t="shared" si="1"/>
        <v>0</v>
      </c>
      <c r="M30" s="25"/>
      <c r="N30" s="162"/>
      <c r="O30" s="162"/>
      <c r="Q30" s="51"/>
      <c r="R30" s="52">
        <f t="shared" si="0"/>
        <v>1</v>
      </c>
      <c r="S30" s="52">
        <f t="shared" si="2"/>
        <v>7</v>
      </c>
      <c r="T30" s="28">
        <v>27</v>
      </c>
      <c r="U30" s="29"/>
      <c r="V30" s="29"/>
      <c r="W30" s="29"/>
      <c r="X30" s="29"/>
      <c r="Y30" s="29"/>
      <c r="Z30" s="29"/>
      <c r="AA30" s="29"/>
      <c r="AB30" s="29"/>
      <c r="AC30" s="29"/>
      <c r="AD30" s="29"/>
      <c r="AE30" s="29"/>
      <c r="AF30" s="29"/>
      <c r="AG30" s="29"/>
      <c r="AI30" s="30">
        <v>27</v>
      </c>
      <c r="AJ30" s="31"/>
      <c r="AK30" s="32"/>
      <c r="AL30" s="32"/>
      <c r="AM30" s="32"/>
      <c r="AN30" s="32"/>
      <c r="AO30" s="32"/>
      <c r="AP30" s="32"/>
      <c r="AQ30" s="32"/>
      <c r="AR30" s="32"/>
      <c r="AS30" s="32"/>
      <c r="AT30" s="32"/>
      <c r="AU30" s="32"/>
      <c r="AV30" s="32"/>
      <c r="AW30" s="33"/>
    </row>
    <row r="31" spans="1:49" ht="16.5" customHeight="1">
      <c r="L31" s="56">
        <f t="shared" si="1"/>
        <v>0</v>
      </c>
      <c r="M31" s="25"/>
      <c r="N31" s="167"/>
      <c r="O31" s="167"/>
      <c r="Q31" s="51"/>
      <c r="R31" s="52">
        <f t="shared" si="0"/>
        <v>1</v>
      </c>
      <c r="S31" s="52">
        <f t="shared" si="2"/>
        <v>8</v>
      </c>
      <c r="T31" s="32">
        <v>28</v>
      </c>
      <c r="U31" s="29"/>
      <c r="V31" s="29"/>
      <c r="W31" s="29"/>
      <c r="X31" s="29"/>
      <c r="Y31" s="29"/>
      <c r="Z31" s="29"/>
      <c r="AA31" s="29"/>
      <c r="AB31" s="29"/>
      <c r="AC31" s="29"/>
      <c r="AD31" s="29"/>
      <c r="AE31" s="29"/>
      <c r="AF31" s="29"/>
      <c r="AG31" s="29"/>
      <c r="AI31" s="30">
        <v>28</v>
      </c>
      <c r="AJ31" s="31"/>
      <c r="AK31" s="32"/>
      <c r="AL31" s="32"/>
      <c r="AM31" s="32"/>
      <c r="AN31" s="32"/>
      <c r="AO31" s="32"/>
      <c r="AP31" s="32"/>
      <c r="AQ31" s="32"/>
      <c r="AR31" s="32"/>
      <c r="AS31" s="32"/>
      <c r="AT31" s="32"/>
      <c r="AU31" s="32"/>
      <c r="AV31" s="32"/>
      <c r="AW31" s="33"/>
    </row>
    <row r="32" spans="1:49">
      <c r="L32" s="56">
        <f t="shared" si="1"/>
        <v>0</v>
      </c>
      <c r="M32" s="34"/>
      <c r="N32" s="168" t="s">
        <v>61</v>
      </c>
      <c r="O32" s="168"/>
      <c r="P32" s="60"/>
      <c r="Q32" s="61"/>
      <c r="S32" s="52">
        <f t="shared" si="2"/>
        <v>9</v>
      </c>
      <c r="T32" s="28">
        <v>29</v>
      </c>
      <c r="U32" s="29"/>
      <c r="V32" s="29"/>
      <c r="W32" s="29"/>
      <c r="X32" s="29"/>
      <c r="Y32" s="29"/>
      <c r="Z32" s="29"/>
      <c r="AA32" s="29"/>
      <c r="AB32" s="29"/>
      <c r="AC32" s="29"/>
      <c r="AD32" s="29"/>
      <c r="AE32" s="29"/>
      <c r="AF32" s="29"/>
      <c r="AG32" s="29"/>
      <c r="AI32" s="30">
        <v>29</v>
      </c>
      <c r="AJ32" s="31"/>
      <c r="AK32" s="32"/>
      <c r="AL32" s="32"/>
      <c r="AM32" s="32"/>
      <c r="AN32" s="32"/>
      <c r="AO32" s="32"/>
      <c r="AP32" s="32"/>
      <c r="AQ32" s="32"/>
      <c r="AR32" s="32"/>
      <c r="AS32" s="32"/>
      <c r="AT32" s="32"/>
      <c r="AU32" s="32"/>
      <c r="AV32" s="32"/>
      <c r="AW32" s="33"/>
    </row>
    <row r="33" spans="2:49">
      <c r="L33" s="56">
        <f t="shared" si="1"/>
        <v>0</v>
      </c>
      <c r="S33" s="52">
        <f t="shared" si="2"/>
        <v>10</v>
      </c>
      <c r="T33" s="32">
        <v>30</v>
      </c>
      <c r="U33" s="29"/>
      <c r="V33" s="29"/>
      <c r="W33" s="29"/>
      <c r="X33" s="29"/>
      <c r="Y33" s="29"/>
      <c r="Z33" s="29"/>
      <c r="AA33" s="29"/>
      <c r="AB33" s="29"/>
      <c r="AC33" s="29"/>
      <c r="AD33" s="29"/>
      <c r="AE33" s="29"/>
      <c r="AF33" s="29"/>
      <c r="AG33" s="29"/>
      <c r="AI33" s="30">
        <v>30</v>
      </c>
      <c r="AJ33" s="31"/>
      <c r="AK33" s="32"/>
      <c r="AL33" s="32"/>
      <c r="AM33" s="32"/>
      <c r="AN33" s="32"/>
      <c r="AO33" s="32"/>
      <c r="AP33" s="32"/>
      <c r="AQ33" s="32"/>
      <c r="AR33" s="32"/>
      <c r="AS33" s="32"/>
      <c r="AT33" s="32"/>
      <c r="AU33" s="32"/>
      <c r="AV33" s="32"/>
      <c r="AW33" s="33"/>
    </row>
    <row r="34" spans="2:49">
      <c r="L34" s="56">
        <f t="shared" si="1"/>
        <v>0</v>
      </c>
      <c r="S34" s="52">
        <f t="shared" si="2"/>
        <v>11</v>
      </c>
      <c r="T34" s="28">
        <v>31</v>
      </c>
      <c r="U34" s="29"/>
      <c r="V34" s="29"/>
      <c r="W34" s="29"/>
      <c r="X34" s="29"/>
      <c r="Y34" s="29"/>
      <c r="Z34" s="29"/>
      <c r="AA34" s="29"/>
      <c r="AB34" s="29"/>
      <c r="AC34" s="29"/>
      <c r="AD34" s="29"/>
      <c r="AE34" s="29"/>
      <c r="AF34" s="29"/>
      <c r="AG34" s="29"/>
      <c r="AI34" s="30">
        <v>31</v>
      </c>
      <c r="AJ34" s="31"/>
      <c r="AK34" s="32"/>
      <c r="AL34" s="32"/>
      <c r="AM34" s="32"/>
      <c r="AN34" s="32"/>
      <c r="AO34" s="32"/>
      <c r="AP34" s="32"/>
      <c r="AQ34" s="32"/>
      <c r="AR34" s="32"/>
      <c r="AS34" s="32"/>
      <c r="AT34" s="32"/>
      <c r="AU34" s="32"/>
      <c r="AV34" s="32"/>
      <c r="AW34" s="33"/>
    </row>
    <row r="35" spans="2:49">
      <c r="L35" s="56">
        <f>SUM(L24:L34)</f>
        <v>0</v>
      </c>
      <c r="T35" s="32">
        <v>32</v>
      </c>
      <c r="U35" s="29"/>
      <c r="V35" s="29"/>
      <c r="W35" s="29"/>
      <c r="X35" s="29"/>
      <c r="Y35" s="29"/>
      <c r="Z35" s="29"/>
      <c r="AA35" s="29"/>
      <c r="AB35" s="29"/>
      <c r="AC35" s="29"/>
      <c r="AD35" s="29"/>
      <c r="AE35" s="29"/>
      <c r="AF35" s="29"/>
      <c r="AG35" s="29"/>
      <c r="AI35" s="30">
        <v>32</v>
      </c>
      <c r="AJ35" s="31"/>
      <c r="AK35" s="32"/>
      <c r="AL35" s="32"/>
      <c r="AM35" s="32"/>
      <c r="AN35" s="32"/>
      <c r="AO35" s="32"/>
      <c r="AP35" s="32"/>
      <c r="AQ35" s="32"/>
      <c r="AR35" s="32"/>
      <c r="AS35" s="32"/>
      <c r="AT35" s="32"/>
      <c r="AU35" s="32"/>
      <c r="AV35" s="32"/>
      <c r="AW35" s="33"/>
    </row>
    <row r="36" spans="2:49">
      <c r="T36" s="28">
        <v>33</v>
      </c>
      <c r="U36" s="29"/>
      <c r="V36" s="29"/>
      <c r="W36" s="29"/>
      <c r="X36" s="29"/>
      <c r="Y36" s="29"/>
      <c r="Z36" s="29"/>
      <c r="AA36" s="29"/>
      <c r="AB36" s="29"/>
      <c r="AC36" s="29"/>
      <c r="AD36" s="29"/>
      <c r="AE36" s="29"/>
      <c r="AF36" s="29"/>
      <c r="AG36" s="29"/>
      <c r="AI36" s="30">
        <v>33</v>
      </c>
      <c r="AJ36" s="31"/>
      <c r="AK36" s="32"/>
      <c r="AL36" s="32"/>
      <c r="AM36" s="32"/>
      <c r="AN36" s="32"/>
      <c r="AO36" s="32"/>
      <c r="AP36" s="32"/>
      <c r="AQ36" s="32"/>
      <c r="AR36" s="32"/>
      <c r="AS36" s="32"/>
      <c r="AT36" s="32"/>
      <c r="AU36" s="32"/>
      <c r="AV36" s="32"/>
      <c r="AW36" s="33"/>
    </row>
    <row r="37" spans="2:49">
      <c r="T37" s="32">
        <v>34</v>
      </c>
      <c r="U37" s="29"/>
      <c r="V37" s="29"/>
      <c r="W37" s="29"/>
      <c r="X37" s="29"/>
      <c r="Y37" s="29"/>
      <c r="Z37" s="29"/>
      <c r="AA37" s="29"/>
      <c r="AB37" s="29"/>
      <c r="AC37" s="29"/>
      <c r="AD37" s="29"/>
      <c r="AE37" s="29"/>
      <c r="AF37" s="29"/>
      <c r="AG37" s="29"/>
      <c r="AI37" s="30">
        <v>34</v>
      </c>
      <c r="AJ37" s="31"/>
      <c r="AK37" s="32"/>
      <c r="AL37" s="32"/>
      <c r="AM37" s="32"/>
      <c r="AN37" s="32"/>
      <c r="AO37" s="32"/>
      <c r="AP37" s="32"/>
      <c r="AQ37" s="32"/>
      <c r="AR37" s="32"/>
      <c r="AS37" s="32"/>
      <c r="AT37" s="32"/>
      <c r="AU37" s="32"/>
      <c r="AV37" s="32"/>
      <c r="AW37" s="33"/>
    </row>
    <row r="38" spans="2:49">
      <c r="T38" s="28">
        <v>35</v>
      </c>
      <c r="U38" s="29"/>
      <c r="V38" s="29"/>
      <c r="W38" s="29"/>
      <c r="X38" s="29"/>
      <c r="Y38" s="29"/>
      <c r="Z38" s="29"/>
      <c r="AA38" s="29"/>
      <c r="AB38" s="29"/>
      <c r="AC38" s="29"/>
      <c r="AD38" s="29"/>
      <c r="AE38" s="29"/>
      <c r="AF38" s="29"/>
      <c r="AG38" s="29"/>
      <c r="AI38" s="30">
        <v>35</v>
      </c>
      <c r="AJ38" s="31"/>
      <c r="AK38" s="32"/>
      <c r="AL38" s="32"/>
      <c r="AM38" s="32"/>
      <c r="AN38" s="32"/>
      <c r="AO38" s="32"/>
      <c r="AP38" s="32"/>
      <c r="AQ38" s="32"/>
      <c r="AR38" s="32"/>
      <c r="AS38" s="32"/>
      <c r="AT38" s="32"/>
      <c r="AU38" s="32"/>
      <c r="AV38" s="32"/>
      <c r="AW38" s="33"/>
    </row>
    <row r="39" spans="2:49">
      <c r="T39" s="32">
        <v>36</v>
      </c>
      <c r="U39" s="29"/>
      <c r="V39" s="29"/>
      <c r="W39" s="29"/>
      <c r="X39" s="29"/>
      <c r="Y39" s="29"/>
      <c r="Z39" s="29"/>
      <c r="AA39" s="29"/>
      <c r="AB39" s="29"/>
      <c r="AC39" s="29"/>
      <c r="AD39" s="29"/>
      <c r="AE39" s="29"/>
      <c r="AF39" s="29"/>
      <c r="AG39" s="29"/>
      <c r="AI39" s="30">
        <v>36</v>
      </c>
      <c r="AJ39" s="31"/>
      <c r="AK39" s="32"/>
      <c r="AL39" s="32"/>
      <c r="AM39" s="32"/>
      <c r="AN39" s="32"/>
      <c r="AO39" s="32"/>
      <c r="AP39" s="32"/>
      <c r="AQ39" s="32"/>
      <c r="AR39" s="32"/>
      <c r="AS39" s="32"/>
      <c r="AT39" s="32"/>
      <c r="AU39" s="32"/>
      <c r="AV39" s="32"/>
      <c r="AW39" s="33"/>
    </row>
    <row r="40" spans="2:49">
      <c r="T40" s="28">
        <v>37</v>
      </c>
      <c r="U40" s="29"/>
      <c r="V40" s="29"/>
      <c r="W40" s="29"/>
      <c r="X40" s="29"/>
      <c r="Y40" s="29"/>
      <c r="Z40" s="29"/>
      <c r="AA40" s="29"/>
      <c r="AB40" s="29"/>
      <c r="AC40" s="29"/>
      <c r="AD40" s="29"/>
      <c r="AE40" s="29"/>
      <c r="AF40" s="29"/>
      <c r="AG40" s="29"/>
      <c r="AI40" s="30">
        <v>37</v>
      </c>
      <c r="AJ40" s="31"/>
      <c r="AK40" s="32"/>
      <c r="AL40" s="32"/>
      <c r="AM40" s="32"/>
      <c r="AN40" s="32"/>
      <c r="AO40" s="32"/>
      <c r="AP40" s="32"/>
      <c r="AQ40" s="32"/>
      <c r="AR40" s="32"/>
      <c r="AS40" s="32"/>
      <c r="AT40" s="32"/>
      <c r="AU40" s="32"/>
      <c r="AV40" s="32"/>
      <c r="AW40" s="33"/>
    </row>
    <row r="41" spans="2:49">
      <c r="T41" s="32">
        <v>38</v>
      </c>
      <c r="U41" s="29"/>
      <c r="V41" s="29"/>
      <c r="W41" s="29"/>
      <c r="X41" s="29"/>
      <c r="Y41" s="29"/>
      <c r="Z41" s="29"/>
      <c r="AA41" s="29"/>
      <c r="AB41" s="29"/>
      <c r="AC41" s="29"/>
      <c r="AD41" s="29"/>
      <c r="AE41" s="29"/>
      <c r="AF41" s="29"/>
      <c r="AG41" s="29"/>
      <c r="AI41" s="30">
        <v>38</v>
      </c>
      <c r="AJ41" s="31"/>
      <c r="AK41" s="32"/>
      <c r="AL41" s="32"/>
      <c r="AM41" s="32"/>
      <c r="AN41" s="32"/>
      <c r="AO41" s="32"/>
      <c r="AP41" s="32"/>
      <c r="AQ41" s="32"/>
      <c r="AR41" s="32"/>
      <c r="AS41" s="32"/>
      <c r="AT41" s="32"/>
      <c r="AU41" s="32"/>
      <c r="AV41" s="32"/>
      <c r="AW41" s="33"/>
    </row>
    <row r="42" spans="2:49" ht="15" customHeight="1">
      <c r="T42" s="28">
        <v>39</v>
      </c>
      <c r="U42" s="29"/>
      <c r="V42" s="29"/>
      <c r="W42" s="29"/>
      <c r="X42" s="29"/>
      <c r="Y42" s="29"/>
      <c r="Z42" s="29"/>
      <c r="AA42" s="29"/>
      <c r="AB42" s="29"/>
      <c r="AC42" s="29"/>
      <c r="AD42" s="29"/>
      <c r="AE42" s="29"/>
      <c r="AF42" s="29"/>
      <c r="AG42" s="29"/>
      <c r="AI42" s="30">
        <v>39</v>
      </c>
      <c r="AJ42" s="31"/>
      <c r="AK42" s="32"/>
      <c r="AL42" s="32"/>
      <c r="AM42" s="32"/>
      <c r="AN42" s="32"/>
      <c r="AO42" s="32"/>
      <c r="AP42" s="32"/>
      <c r="AQ42" s="32"/>
      <c r="AR42" s="32"/>
      <c r="AS42" s="32"/>
      <c r="AT42" s="32"/>
      <c r="AU42" s="32"/>
      <c r="AV42" s="32"/>
      <c r="AW42" s="33"/>
    </row>
    <row r="43" spans="2:49">
      <c r="T43" s="32">
        <v>40</v>
      </c>
      <c r="U43" s="29"/>
      <c r="V43" s="29"/>
      <c r="W43" s="29"/>
      <c r="X43" s="29"/>
      <c r="Y43" s="29"/>
      <c r="Z43" s="29"/>
      <c r="AA43" s="29"/>
      <c r="AB43" s="29"/>
      <c r="AC43" s="29"/>
      <c r="AD43" s="29"/>
      <c r="AE43" s="29"/>
      <c r="AF43" s="29"/>
      <c r="AG43" s="29"/>
      <c r="AI43" s="30">
        <v>40</v>
      </c>
      <c r="AJ43" s="31"/>
      <c r="AK43" s="32"/>
      <c r="AL43" s="32"/>
      <c r="AM43" s="32"/>
      <c r="AN43" s="32"/>
      <c r="AO43" s="32"/>
      <c r="AP43" s="32"/>
      <c r="AQ43" s="32"/>
      <c r="AR43" s="32"/>
      <c r="AS43" s="32"/>
      <c r="AT43" s="32"/>
      <c r="AU43" s="32"/>
      <c r="AV43" s="32"/>
      <c r="AW43" s="33"/>
    </row>
    <row r="44" spans="2:49">
      <c r="T44" s="28">
        <v>41</v>
      </c>
      <c r="U44" s="29"/>
      <c r="V44" s="29"/>
      <c r="W44" s="29"/>
      <c r="X44" s="29"/>
      <c r="Y44" s="29"/>
      <c r="Z44" s="29"/>
      <c r="AA44" s="29"/>
      <c r="AB44" s="29"/>
      <c r="AC44" s="29"/>
      <c r="AD44" s="29"/>
      <c r="AE44" s="29"/>
      <c r="AF44" s="29"/>
      <c r="AG44" s="29"/>
      <c r="AI44" s="30">
        <v>41</v>
      </c>
      <c r="AJ44" s="31"/>
      <c r="AK44" s="32"/>
      <c r="AL44" s="32"/>
      <c r="AM44" s="32"/>
      <c r="AN44" s="32"/>
      <c r="AO44" s="32"/>
      <c r="AP44" s="32"/>
      <c r="AQ44" s="32"/>
      <c r="AR44" s="32"/>
      <c r="AS44" s="32"/>
      <c r="AT44" s="32"/>
      <c r="AU44" s="32"/>
      <c r="AV44" s="32"/>
      <c r="AW44" s="33"/>
    </row>
    <row r="45" spans="2:49">
      <c r="T45" s="32">
        <v>42</v>
      </c>
      <c r="U45" s="29"/>
      <c r="V45" s="29"/>
      <c r="W45" s="29"/>
      <c r="X45" s="29"/>
      <c r="Y45" s="29"/>
      <c r="Z45" s="29"/>
      <c r="AA45" s="29"/>
      <c r="AB45" s="29"/>
      <c r="AC45" s="29"/>
      <c r="AD45" s="29"/>
      <c r="AE45" s="29"/>
      <c r="AF45" s="29"/>
      <c r="AG45" s="29"/>
      <c r="AI45" s="30">
        <v>42</v>
      </c>
      <c r="AJ45" s="31"/>
      <c r="AK45" s="32"/>
      <c r="AL45" s="32"/>
      <c r="AM45" s="32"/>
      <c r="AN45" s="32"/>
      <c r="AO45" s="32"/>
      <c r="AP45" s="32"/>
      <c r="AQ45" s="32"/>
      <c r="AR45" s="32"/>
      <c r="AS45" s="32"/>
      <c r="AT45" s="32"/>
      <c r="AU45" s="32"/>
      <c r="AV45" s="32"/>
      <c r="AW45" s="33"/>
    </row>
    <row r="46" spans="2:49">
      <c r="T46" s="28">
        <v>43</v>
      </c>
      <c r="U46" s="29"/>
      <c r="V46" s="29"/>
      <c r="W46" s="29"/>
      <c r="X46" s="29"/>
      <c r="Y46" s="29"/>
      <c r="Z46" s="29"/>
      <c r="AA46" s="29"/>
      <c r="AB46" s="29"/>
      <c r="AC46" s="29"/>
      <c r="AD46" s="29"/>
      <c r="AE46" s="29"/>
      <c r="AF46" s="29"/>
      <c r="AG46" s="29"/>
      <c r="AI46" s="30">
        <v>43</v>
      </c>
      <c r="AJ46" s="31"/>
      <c r="AK46" s="32"/>
      <c r="AL46" s="32"/>
      <c r="AM46" s="32"/>
      <c r="AN46" s="32"/>
      <c r="AO46" s="32"/>
      <c r="AP46" s="32"/>
      <c r="AQ46" s="32"/>
      <c r="AR46" s="32"/>
      <c r="AS46" s="32"/>
      <c r="AT46" s="32"/>
      <c r="AU46" s="32"/>
      <c r="AV46" s="32"/>
      <c r="AW46" s="33"/>
    </row>
    <row r="47" spans="2:49">
      <c r="B47" s="19"/>
      <c r="C47" s="19"/>
      <c r="D47" s="19"/>
      <c r="E47" s="19"/>
      <c r="F47" s="19"/>
      <c r="G47" s="19"/>
      <c r="H47" s="19"/>
      <c r="I47" s="19"/>
      <c r="J47" s="19"/>
      <c r="T47" s="32">
        <v>44</v>
      </c>
      <c r="U47" s="29"/>
      <c r="V47" s="29"/>
      <c r="W47" s="29"/>
      <c r="X47" s="29"/>
      <c r="Y47" s="29"/>
      <c r="Z47" s="29"/>
      <c r="AA47" s="29"/>
      <c r="AB47" s="29"/>
      <c r="AC47" s="29"/>
      <c r="AD47" s="29"/>
      <c r="AE47" s="29"/>
      <c r="AF47" s="29"/>
      <c r="AG47" s="29"/>
      <c r="AI47" s="30">
        <v>44</v>
      </c>
      <c r="AJ47" s="31"/>
      <c r="AK47" s="32"/>
      <c r="AL47" s="32"/>
      <c r="AM47" s="32"/>
      <c r="AN47" s="32"/>
      <c r="AO47" s="32"/>
      <c r="AP47" s="32"/>
      <c r="AQ47" s="32"/>
      <c r="AR47" s="32"/>
      <c r="AS47" s="32"/>
      <c r="AT47" s="32"/>
      <c r="AU47" s="32"/>
      <c r="AV47" s="32"/>
      <c r="AW47" s="33"/>
    </row>
    <row r="48" spans="2:49">
      <c r="B48" s="16"/>
      <c r="C48" s="62"/>
      <c r="D48" s="62"/>
      <c r="E48" s="62"/>
      <c r="F48" s="62"/>
      <c r="G48" s="62"/>
      <c r="H48" s="62"/>
      <c r="I48" s="62"/>
      <c r="J48" s="62"/>
      <c r="T48" s="28">
        <v>45</v>
      </c>
      <c r="U48" s="29"/>
      <c r="V48" s="29"/>
      <c r="W48" s="29"/>
      <c r="X48" s="29"/>
      <c r="Y48" s="29"/>
      <c r="Z48" s="29"/>
      <c r="AA48" s="29"/>
      <c r="AB48" s="29"/>
      <c r="AC48" s="29"/>
      <c r="AD48" s="29"/>
      <c r="AE48" s="29"/>
      <c r="AF48" s="29"/>
      <c r="AG48" s="29"/>
      <c r="AI48" s="30">
        <v>45</v>
      </c>
      <c r="AJ48" s="31"/>
      <c r="AK48" s="32"/>
      <c r="AL48" s="32"/>
      <c r="AM48" s="32"/>
      <c r="AN48" s="32"/>
      <c r="AO48" s="32"/>
      <c r="AP48" s="32"/>
      <c r="AQ48" s="32"/>
      <c r="AR48" s="32"/>
      <c r="AS48" s="32"/>
      <c r="AT48" s="32"/>
      <c r="AU48" s="32"/>
      <c r="AV48" s="32"/>
      <c r="AW48" s="33"/>
    </row>
    <row r="49" spans="2:49">
      <c r="B49" s="16"/>
      <c r="C49" s="62"/>
      <c r="D49" s="62"/>
      <c r="E49" s="62"/>
      <c r="F49" s="62"/>
      <c r="G49" s="62"/>
      <c r="H49" s="62"/>
      <c r="I49" s="62"/>
      <c r="J49" s="62"/>
      <c r="T49" s="32">
        <v>46</v>
      </c>
      <c r="U49" s="29"/>
      <c r="V49" s="29"/>
      <c r="W49" s="29"/>
      <c r="X49" s="29"/>
      <c r="Y49" s="29"/>
      <c r="Z49" s="29"/>
      <c r="AA49" s="29"/>
      <c r="AB49" s="29"/>
      <c r="AC49" s="29"/>
      <c r="AD49" s="29"/>
      <c r="AE49" s="29"/>
      <c r="AF49" s="29"/>
      <c r="AG49" s="29"/>
      <c r="AI49" s="30">
        <v>46</v>
      </c>
      <c r="AJ49" s="31"/>
      <c r="AK49" s="32"/>
      <c r="AL49" s="32"/>
      <c r="AM49" s="32"/>
      <c r="AN49" s="32"/>
      <c r="AO49" s="32"/>
      <c r="AP49" s="32"/>
      <c r="AQ49" s="32"/>
      <c r="AR49" s="32"/>
      <c r="AS49" s="32"/>
      <c r="AT49" s="32"/>
      <c r="AU49" s="32"/>
      <c r="AV49" s="32"/>
      <c r="AW49" s="33"/>
    </row>
    <row r="50" spans="2:49" ht="15" customHeight="1">
      <c r="B50" s="19"/>
      <c r="C50" s="63"/>
      <c r="D50" s="63"/>
      <c r="E50" s="63"/>
      <c r="F50" s="63"/>
      <c r="G50" s="63"/>
      <c r="H50" s="63"/>
      <c r="I50" s="63"/>
      <c r="J50" s="63"/>
      <c r="T50" s="28">
        <v>47</v>
      </c>
      <c r="U50" s="29"/>
      <c r="V50" s="29"/>
      <c r="W50" s="29"/>
      <c r="X50" s="29"/>
      <c r="Y50" s="29"/>
      <c r="Z50" s="29"/>
      <c r="AA50" s="29"/>
      <c r="AB50" s="29"/>
      <c r="AC50" s="29"/>
      <c r="AD50" s="29"/>
      <c r="AE50" s="29"/>
      <c r="AF50" s="29"/>
      <c r="AG50" s="29"/>
      <c r="AI50" s="30">
        <v>47</v>
      </c>
      <c r="AJ50" s="31"/>
      <c r="AK50" s="32"/>
      <c r="AL50" s="32"/>
      <c r="AM50" s="32"/>
      <c r="AN50" s="32"/>
      <c r="AO50" s="32"/>
      <c r="AP50" s="32"/>
      <c r="AQ50" s="32"/>
      <c r="AR50" s="32"/>
      <c r="AS50" s="32"/>
      <c r="AT50" s="32"/>
      <c r="AU50" s="32"/>
      <c r="AV50" s="32"/>
      <c r="AW50" s="33"/>
    </row>
    <row r="51" spans="2:49" ht="15" customHeight="1">
      <c r="B51" s="19"/>
      <c r="C51" s="63"/>
      <c r="D51" s="63"/>
      <c r="E51" s="63"/>
      <c r="F51" s="63"/>
      <c r="G51" s="63"/>
      <c r="H51" s="63"/>
      <c r="I51" s="63"/>
      <c r="J51" s="63"/>
      <c r="T51" s="32">
        <v>48</v>
      </c>
      <c r="U51" s="29"/>
      <c r="V51" s="29"/>
      <c r="W51" s="29"/>
      <c r="X51" s="29"/>
      <c r="Y51" s="29"/>
      <c r="Z51" s="29"/>
      <c r="AA51" s="29"/>
      <c r="AB51" s="29"/>
      <c r="AC51" s="29"/>
      <c r="AD51" s="29"/>
      <c r="AE51" s="29"/>
      <c r="AF51" s="29"/>
      <c r="AG51" s="29"/>
      <c r="AI51" s="30">
        <v>48</v>
      </c>
      <c r="AJ51" s="31"/>
      <c r="AK51" s="32"/>
      <c r="AL51" s="32"/>
      <c r="AM51" s="32"/>
      <c r="AN51" s="32"/>
      <c r="AO51" s="32"/>
      <c r="AP51" s="32"/>
      <c r="AQ51" s="32"/>
      <c r="AR51" s="32"/>
      <c r="AS51" s="32"/>
      <c r="AT51" s="32"/>
      <c r="AU51" s="32"/>
      <c r="AV51" s="32"/>
      <c r="AW51" s="33"/>
    </row>
    <row r="52" spans="2:49">
      <c r="T52" s="28">
        <v>49</v>
      </c>
      <c r="U52" s="29"/>
      <c r="V52" s="29"/>
      <c r="W52" s="29"/>
      <c r="X52" s="29"/>
      <c r="Y52" s="29"/>
      <c r="Z52" s="29"/>
      <c r="AA52" s="29"/>
      <c r="AB52" s="29"/>
      <c r="AC52" s="29"/>
      <c r="AD52" s="29"/>
      <c r="AE52" s="29"/>
      <c r="AF52" s="29"/>
      <c r="AG52" s="29"/>
      <c r="AI52" s="30">
        <v>49</v>
      </c>
      <c r="AJ52" s="31"/>
      <c r="AK52" s="32"/>
      <c r="AL52" s="32"/>
      <c r="AM52" s="32"/>
      <c r="AN52" s="32"/>
      <c r="AO52" s="32"/>
      <c r="AP52" s="32"/>
      <c r="AQ52" s="32"/>
      <c r="AR52" s="32"/>
      <c r="AS52" s="32"/>
      <c r="AT52" s="32"/>
      <c r="AU52" s="32"/>
      <c r="AV52" s="32"/>
      <c r="AW52" s="33"/>
    </row>
    <row r="53" spans="2:49">
      <c r="T53" s="32">
        <v>50</v>
      </c>
      <c r="U53" s="29"/>
      <c r="V53" s="29"/>
      <c r="W53" s="29"/>
      <c r="X53" s="29"/>
      <c r="Y53" s="29"/>
      <c r="Z53" s="29"/>
      <c r="AA53" s="29"/>
      <c r="AB53" s="29"/>
      <c r="AC53" s="29"/>
      <c r="AD53" s="29"/>
      <c r="AE53" s="29"/>
      <c r="AF53" s="29"/>
      <c r="AG53" s="29"/>
      <c r="AI53" s="30">
        <v>50</v>
      </c>
      <c r="AJ53" s="31"/>
      <c r="AK53" s="32"/>
      <c r="AL53" s="32"/>
      <c r="AM53" s="32"/>
      <c r="AN53" s="32"/>
      <c r="AO53" s="32"/>
      <c r="AP53" s="32"/>
      <c r="AQ53" s="32"/>
      <c r="AR53" s="32"/>
      <c r="AS53" s="32"/>
      <c r="AT53" s="32"/>
      <c r="AU53" s="32"/>
      <c r="AV53" s="32"/>
      <c r="AW53" s="33"/>
    </row>
    <row r="54" spans="2:49">
      <c r="T54" s="28">
        <v>51</v>
      </c>
      <c r="U54" s="29"/>
      <c r="V54" s="29"/>
      <c r="W54" s="29"/>
      <c r="X54" s="29"/>
      <c r="Y54" s="29"/>
      <c r="Z54" s="29"/>
      <c r="AA54" s="29"/>
      <c r="AB54" s="29"/>
      <c r="AC54" s="29"/>
      <c r="AD54" s="29"/>
      <c r="AE54" s="29"/>
      <c r="AF54" s="29"/>
      <c r="AG54" s="29"/>
      <c r="AI54" s="30">
        <v>51</v>
      </c>
      <c r="AJ54" s="31"/>
      <c r="AK54" s="32"/>
      <c r="AL54" s="32"/>
      <c r="AM54" s="32"/>
      <c r="AN54" s="32"/>
      <c r="AO54" s="32"/>
      <c r="AP54" s="32"/>
      <c r="AQ54" s="32"/>
      <c r="AR54" s="32"/>
      <c r="AS54" s="32"/>
      <c r="AT54" s="32"/>
      <c r="AU54" s="32"/>
      <c r="AV54" s="32"/>
      <c r="AW54" s="33"/>
    </row>
    <row r="55" spans="2:49">
      <c r="T55" s="32">
        <v>52</v>
      </c>
      <c r="U55" s="29"/>
      <c r="V55" s="29"/>
      <c r="W55" s="29"/>
      <c r="X55" s="29"/>
      <c r="Y55" s="29"/>
      <c r="Z55" s="29"/>
      <c r="AA55" s="29"/>
      <c r="AB55" s="29"/>
      <c r="AC55" s="29"/>
      <c r="AD55" s="29"/>
      <c r="AE55" s="29"/>
      <c r="AF55" s="29"/>
      <c r="AG55" s="29"/>
      <c r="AI55" s="30">
        <v>52</v>
      </c>
      <c r="AJ55" s="31"/>
      <c r="AK55" s="32"/>
      <c r="AL55" s="32"/>
      <c r="AM55" s="32"/>
      <c r="AN55" s="32"/>
      <c r="AO55" s="32"/>
      <c r="AP55" s="32"/>
      <c r="AQ55" s="32"/>
      <c r="AR55" s="32"/>
      <c r="AS55" s="32"/>
      <c r="AT55" s="32"/>
      <c r="AU55" s="32"/>
      <c r="AV55" s="32"/>
      <c r="AW55" s="33"/>
    </row>
    <row r="56" spans="2:49">
      <c r="T56" s="28">
        <v>53</v>
      </c>
      <c r="U56" s="29"/>
      <c r="V56" s="29"/>
      <c r="W56" s="29"/>
      <c r="X56" s="29"/>
      <c r="Y56" s="29"/>
      <c r="Z56" s="29"/>
      <c r="AA56" s="29"/>
      <c r="AB56" s="29"/>
      <c r="AC56" s="29"/>
      <c r="AD56" s="29"/>
      <c r="AE56" s="29"/>
      <c r="AF56" s="29"/>
      <c r="AG56" s="29"/>
      <c r="AI56" s="30">
        <v>53</v>
      </c>
      <c r="AJ56" s="31"/>
      <c r="AK56" s="32"/>
      <c r="AL56" s="32"/>
      <c r="AM56" s="32"/>
      <c r="AN56" s="32"/>
      <c r="AO56" s="32"/>
      <c r="AP56" s="32"/>
      <c r="AQ56" s="32"/>
      <c r="AR56" s="32"/>
      <c r="AS56" s="32"/>
      <c r="AT56" s="32"/>
      <c r="AU56" s="32"/>
      <c r="AV56" s="32"/>
      <c r="AW56" s="33"/>
    </row>
    <row r="57" spans="2:49">
      <c r="T57" s="32">
        <v>54</v>
      </c>
      <c r="U57" s="29"/>
      <c r="V57" s="29"/>
      <c r="W57" s="29"/>
      <c r="X57" s="29"/>
      <c r="Y57" s="29"/>
      <c r="Z57" s="29"/>
      <c r="AA57" s="29"/>
      <c r="AB57" s="29"/>
      <c r="AC57" s="29"/>
      <c r="AD57" s="29"/>
      <c r="AE57" s="29"/>
      <c r="AF57" s="29"/>
      <c r="AG57" s="29"/>
      <c r="AI57" s="30">
        <v>54</v>
      </c>
      <c r="AJ57" s="31"/>
      <c r="AK57" s="32"/>
      <c r="AL57" s="32"/>
      <c r="AM57" s="32"/>
      <c r="AN57" s="32"/>
      <c r="AO57" s="32"/>
      <c r="AP57" s="32"/>
      <c r="AQ57" s="32"/>
      <c r="AR57" s="32"/>
      <c r="AS57" s="32"/>
      <c r="AT57" s="32"/>
      <c r="AU57" s="32"/>
      <c r="AV57" s="32"/>
      <c r="AW57" s="33"/>
    </row>
    <row r="58" spans="2:49">
      <c r="T58" s="28">
        <v>55</v>
      </c>
      <c r="U58" s="29"/>
      <c r="V58" s="29"/>
      <c r="W58" s="29"/>
      <c r="X58" s="29"/>
      <c r="Y58" s="29"/>
      <c r="Z58" s="29"/>
      <c r="AA58" s="29"/>
      <c r="AB58" s="29"/>
      <c r="AC58" s="29"/>
      <c r="AD58" s="29"/>
      <c r="AE58" s="29"/>
      <c r="AF58" s="29"/>
      <c r="AG58" s="29"/>
      <c r="AI58" s="30">
        <v>55</v>
      </c>
      <c r="AJ58" s="31"/>
      <c r="AK58" s="32"/>
      <c r="AL58" s="32"/>
      <c r="AM58" s="32"/>
      <c r="AN58" s="32"/>
      <c r="AO58" s="32"/>
      <c r="AP58" s="32"/>
      <c r="AQ58" s="32"/>
      <c r="AR58" s="32"/>
      <c r="AS58" s="32"/>
      <c r="AT58" s="32"/>
      <c r="AU58" s="32"/>
      <c r="AV58" s="32"/>
      <c r="AW58" s="33"/>
    </row>
    <row r="59" spans="2:49">
      <c r="T59" s="32">
        <v>56</v>
      </c>
      <c r="U59" s="29"/>
      <c r="V59" s="29"/>
      <c r="W59" s="29"/>
      <c r="X59" s="29"/>
      <c r="Y59" s="29"/>
      <c r="Z59" s="29"/>
      <c r="AA59" s="29"/>
      <c r="AB59" s="29"/>
      <c r="AC59" s="29"/>
      <c r="AD59" s="29"/>
      <c r="AE59" s="29"/>
      <c r="AF59" s="29"/>
      <c r="AG59" s="29"/>
      <c r="AI59" s="30">
        <v>56</v>
      </c>
      <c r="AJ59" s="31"/>
      <c r="AK59" s="32"/>
      <c r="AL59" s="32"/>
      <c r="AM59" s="32"/>
      <c r="AN59" s="32"/>
      <c r="AO59" s="32"/>
      <c r="AP59" s="32"/>
      <c r="AQ59" s="32"/>
      <c r="AR59" s="32"/>
      <c r="AS59" s="32"/>
      <c r="AT59" s="32"/>
      <c r="AU59" s="32"/>
      <c r="AV59" s="32"/>
      <c r="AW59" s="33"/>
    </row>
    <row r="60" spans="2:49">
      <c r="T60" s="28">
        <v>57</v>
      </c>
      <c r="U60" s="29"/>
      <c r="V60" s="29"/>
      <c r="W60" s="29"/>
      <c r="X60" s="29"/>
      <c r="Y60" s="29"/>
      <c r="Z60" s="29"/>
      <c r="AA60" s="29"/>
      <c r="AB60" s="29"/>
      <c r="AC60" s="29"/>
      <c r="AD60" s="29"/>
      <c r="AE60" s="29"/>
      <c r="AF60" s="29"/>
      <c r="AG60" s="29"/>
      <c r="AI60" s="30">
        <v>57</v>
      </c>
      <c r="AJ60" s="31"/>
      <c r="AK60" s="32"/>
      <c r="AL60" s="32"/>
      <c r="AM60" s="32"/>
      <c r="AN60" s="32"/>
      <c r="AO60" s="32"/>
      <c r="AP60" s="32"/>
      <c r="AQ60" s="32"/>
      <c r="AR60" s="32"/>
      <c r="AS60" s="32"/>
      <c r="AT60" s="32"/>
      <c r="AU60" s="32"/>
      <c r="AV60" s="32"/>
      <c r="AW60" s="33"/>
    </row>
    <row r="61" spans="2:49">
      <c r="T61" s="32">
        <v>58</v>
      </c>
      <c r="U61" s="29"/>
      <c r="V61" s="29"/>
      <c r="W61" s="29"/>
      <c r="X61" s="29"/>
      <c r="Y61" s="29"/>
      <c r="Z61" s="29"/>
      <c r="AA61" s="29"/>
      <c r="AB61" s="29"/>
      <c r="AC61" s="29"/>
      <c r="AD61" s="29"/>
      <c r="AE61" s="29"/>
      <c r="AF61" s="29"/>
      <c r="AG61" s="29"/>
      <c r="AI61" s="30">
        <v>58</v>
      </c>
      <c r="AJ61" s="31"/>
      <c r="AK61" s="32"/>
      <c r="AL61" s="32"/>
      <c r="AM61" s="32"/>
      <c r="AN61" s="32"/>
      <c r="AO61" s="32"/>
      <c r="AP61" s="32"/>
      <c r="AQ61" s="32"/>
      <c r="AR61" s="32"/>
      <c r="AS61" s="32"/>
      <c r="AT61" s="32"/>
      <c r="AU61" s="32"/>
      <c r="AV61" s="32"/>
      <c r="AW61" s="33"/>
    </row>
    <row r="62" spans="2:49">
      <c r="T62" s="28">
        <v>59</v>
      </c>
      <c r="U62" s="29"/>
      <c r="V62" s="29"/>
      <c r="W62" s="29"/>
      <c r="X62" s="29"/>
      <c r="Y62" s="29"/>
      <c r="Z62" s="29"/>
      <c r="AA62" s="29"/>
      <c r="AB62" s="29"/>
      <c r="AC62" s="29"/>
      <c r="AD62" s="29"/>
      <c r="AE62" s="29"/>
      <c r="AF62" s="29"/>
      <c r="AG62" s="29"/>
      <c r="AI62" s="30">
        <v>59</v>
      </c>
      <c r="AJ62" s="31"/>
      <c r="AK62" s="32"/>
      <c r="AL62" s="32"/>
      <c r="AM62" s="32"/>
      <c r="AN62" s="32"/>
      <c r="AO62" s="32"/>
      <c r="AP62" s="32"/>
      <c r="AQ62" s="32"/>
      <c r="AR62" s="32"/>
      <c r="AS62" s="32"/>
      <c r="AT62" s="32"/>
      <c r="AU62" s="32"/>
      <c r="AV62" s="32"/>
      <c r="AW62" s="33"/>
    </row>
    <row r="63" spans="2:49">
      <c r="T63" s="32">
        <v>60</v>
      </c>
      <c r="U63" s="29"/>
      <c r="V63" s="29"/>
      <c r="W63" s="29"/>
      <c r="X63" s="29"/>
      <c r="Y63" s="29"/>
      <c r="Z63" s="29"/>
      <c r="AA63" s="29"/>
      <c r="AB63" s="29"/>
      <c r="AC63" s="29"/>
      <c r="AD63" s="29"/>
      <c r="AE63" s="29"/>
      <c r="AF63" s="29"/>
      <c r="AG63" s="29"/>
      <c r="AI63" s="30">
        <v>60</v>
      </c>
      <c r="AJ63" s="31"/>
      <c r="AK63" s="32"/>
      <c r="AL63" s="32"/>
      <c r="AM63" s="32"/>
      <c r="AN63" s="32"/>
      <c r="AO63" s="32"/>
      <c r="AP63" s="32"/>
      <c r="AQ63" s="32"/>
      <c r="AR63" s="32"/>
      <c r="AS63" s="32"/>
      <c r="AT63" s="32"/>
      <c r="AU63" s="32"/>
      <c r="AV63" s="32"/>
      <c r="AW63" s="33"/>
    </row>
    <row r="64" spans="2:49">
      <c r="T64" s="28">
        <v>61</v>
      </c>
      <c r="U64" s="29"/>
      <c r="V64" s="29"/>
      <c r="W64" s="29"/>
      <c r="X64" s="29"/>
      <c r="Y64" s="29"/>
      <c r="Z64" s="29"/>
      <c r="AA64" s="29"/>
      <c r="AB64" s="29"/>
      <c r="AC64" s="29"/>
      <c r="AD64" s="29"/>
      <c r="AE64" s="29"/>
      <c r="AF64" s="29"/>
      <c r="AG64" s="29"/>
      <c r="AI64" s="30">
        <v>61</v>
      </c>
      <c r="AJ64" s="31"/>
      <c r="AK64" s="32"/>
      <c r="AL64" s="32"/>
      <c r="AM64" s="32"/>
      <c r="AN64" s="32"/>
      <c r="AO64" s="32"/>
      <c r="AP64" s="32"/>
      <c r="AQ64" s="32"/>
      <c r="AR64" s="32"/>
      <c r="AS64" s="32"/>
      <c r="AT64" s="32"/>
      <c r="AU64" s="32"/>
      <c r="AV64" s="32"/>
      <c r="AW64" s="33"/>
    </row>
    <row r="65" spans="20:49">
      <c r="T65" s="32">
        <v>62</v>
      </c>
      <c r="U65" s="29"/>
      <c r="V65" s="29"/>
      <c r="W65" s="29"/>
      <c r="X65" s="29"/>
      <c r="Y65" s="29"/>
      <c r="Z65" s="29"/>
      <c r="AA65" s="29"/>
      <c r="AB65" s="29"/>
      <c r="AC65" s="29"/>
      <c r="AD65" s="29"/>
      <c r="AE65" s="29"/>
      <c r="AF65" s="29"/>
      <c r="AG65" s="29"/>
      <c r="AI65" s="30">
        <v>62</v>
      </c>
      <c r="AJ65" s="31"/>
      <c r="AK65" s="32"/>
      <c r="AL65" s="32"/>
      <c r="AM65" s="32"/>
      <c r="AN65" s="32"/>
      <c r="AO65" s="32"/>
      <c r="AP65" s="32"/>
      <c r="AQ65" s="32"/>
      <c r="AR65" s="32"/>
      <c r="AS65" s="32"/>
      <c r="AT65" s="32"/>
      <c r="AU65" s="32"/>
      <c r="AV65" s="32"/>
      <c r="AW65" s="33"/>
    </row>
    <row r="66" spans="20:49">
      <c r="T66" s="28">
        <v>63</v>
      </c>
      <c r="U66" s="29"/>
      <c r="V66" s="29"/>
      <c r="W66" s="29"/>
      <c r="X66" s="29"/>
      <c r="Y66" s="29"/>
      <c r="Z66" s="29"/>
      <c r="AA66" s="29"/>
      <c r="AB66" s="29"/>
      <c r="AC66" s="29"/>
      <c r="AD66" s="29"/>
      <c r="AE66" s="29"/>
      <c r="AF66" s="29"/>
      <c r="AG66" s="29"/>
      <c r="AI66" s="30">
        <v>63</v>
      </c>
      <c r="AJ66" s="31"/>
      <c r="AK66" s="32"/>
      <c r="AL66" s="32"/>
      <c r="AM66" s="32"/>
      <c r="AN66" s="32"/>
      <c r="AO66" s="32"/>
      <c r="AP66" s="32"/>
      <c r="AQ66" s="32"/>
      <c r="AR66" s="32"/>
      <c r="AS66" s="32"/>
      <c r="AT66" s="32"/>
      <c r="AU66" s="32"/>
      <c r="AV66" s="32"/>
      <c r="AW66" s="33"/>
    </row>
    <row r="67" spans="20:49">
      <c r="T67" s="32">
        <v>64</v>
      </c>
      <c r="U67" s="29"/>
      <c r="V67" s="29"/>
      <c r="W67" s="29"/>
      <c r="X67" s="29"/>
      <c r="Y67" s="29"/>
      <c r="Z67" s="29"/>
      <c r="AA67" s="29"/>
      <c r="AB67" s="29"/>
      <c r="AC67" s="29"/>
      <c r="AD67" s="29"/>
      <c r="AE67" s="29"/>
      <c r="AF67" s="29"/>
      <c r="AG67" s="29"/>
      <c r="AI67" s="30">
        <v>64</v>
      </c>
      <c r="AJ67" s="31"/>
      <c r="AK67" s="32"/>
      <c r="AL67" s="32"/>
      <c r="AM67" s="32"/>
      <c r="AN67" s="32"/>
      <c r="AO67" s="32"/>
      <c r="AP67" s="32"/>
      <c r="AQ67" s="32"/>
      <c r="AR67" s="32"/>
      <c r="AS67" s="32"/>
      <c r="AT67" s="32"/>
      <c r="AU67" s="32"/>
      <c r="AV67" s="32"/>
      <c r="AW67" s="33"/>
    </row>
    <row r="68" spans="20:49">
      <c r="T68" s="28">
        <v>65</v>
      </c>
      <c r="U68" s="29"/>
      <c r="V68" s="29"/>
      <c r="W68" s="29"/>
      <c r="X68" s="29"/>
      <c r="Y68" s="29"/>
      <c r="Z68" s="29"/>
      <c r="AA68" s="29"/>
      <c r="AB68" s="29"/>
      <c r="AC68" s="29"/>
      <c r="AD68" s="29"/>
      <c r="AE68" s="29"/>
      <c r="AF68" s="29"/>
      <c r="AG68" s="29"/>
      <c r="AI68" s="30">
        <v>65</v>
      </c>
      <c r="AJ68" s="31"/>
      <c r="AK68" s="32"/>
      <c r="AL68" s="32"/>
      <c r="AM68" s="32"/>
      <c r="AN68" s="32"/>
      <c r="AO68" s="32"/>
      <c r="AP68" s="32"/>
      <c r="AQ68" s="32"/>
      <c r="AR68" s="32"/>
      <c r="AS68" s="32"/>
      <c r="AT68" s="32"/>
      <c r="AU68" s="32"/>
      <c r="AV68" s="32"/>
      <c r="AW68" s="33"/>
    </row>
    <row r="69" spans="20:49">
      <c r="T69" s="32">
        <v>66</v>
      </c>
      <c r="U69" s="29"/>
      <c r="V69" s="29"/>
      <c r="W69" s="29"/>
      <c r="X69" s="29"/>
      <c r="Y69" s="29"/>
      <c r="Z69" s="29"/>
      <c r="AA69" s="29"/>
      <c r="AB69" s="29"/>
      <c r="AC69" s="29"/>
      <c r="AD69" s="29"/>
      <c r="AE69" s="29"/>
      <c r="AF69" s="29"/>
      <c r="AG69" s="29"/>
      <c r="AI69" s="30">
        <v>66</v>
      </c>
      <c r="AJ69" s="31"/>
      <c r="AK69" s="32"/>
      <c r="AL69" s="32"/>
      <c r="AM69" s="32"/>
      <c r="AN69" s="32"/>
      <c r="AO69" s="32"/>
      <c r="AP69" s="32"/>
      <c r="AQ69" s="32"/>
      <c r="AR69" s="32"/>
      <c r="AS69" s="32"/>
      <c r="AT69" s="32"/>
      <c r="AU69" s="32"/>
      <c r="AV69" s="32"/>
      <c r="AW69" s="33"/>
    </row>
    <row r="70" spans="20:49">
      <c r="T70" s="28">
        <v>67</v>
      </c>
      <c r="U70" s="29"/>
      <c r="V70" s="29"/>
      <c r="W70" s="29"/>
      <c r="X70" s="29"/>
      <c r="Y70" s="29"/>
      <c r="Z70" s="29"/>
      <c r="AA70" s="29"/>
      <c r="AB70" s="29"/>
      <c r="AC70" s="29"/>
      <c r="AD70" s="29"/>
      <c r="AE70" s="29"/>
      <c r="AF70" s="29"/>
      <c r="AG70" s="29"/>
      <c r="AI70" s="30">
        <v>67</v>
      </c>
      <c r="AJ70" s="31"/>
      <c r="AK70" s="32"/>
      <c r="AL70" s="32"/>
      <c r="AM70" s="32"/>
      <c r="AN70" s="32"/>
      <c r="AO70" s="32"/>
      <c r="AP70" s="32"/>
      <c r="AQ70" s="32"/>
      <c r="AR70" s="32"/>
      <c r="AS70" s="32"/>
      <c r="AT70" s="32"/>
      <c r="AU70" s="32"/>
      <c r="AV70" s="32"/>
      <c r="AW70" s="33"/>
    </row>
    <row r="71" spans="20:49">
      <c r="T71" s="32">
        <v>68</v>
      </c>
      <c r="U71" s="29"/>
      <c r="V71" s="29"/>
      <c r="W71" s="29"/>
      <c r="X71" s="29"/>
      <c r="Y71" s="29"/>
      <c r="Z71" s="29"/>
      <c r="AA71" s="29"/>
      <c r="AB71" s="29"/>
      <c r="AC71" s="29"/>
      <c r="AD71" s="29"/>
      <c r="AE71" s="29"/>
      <c r="AF71" s="29"/>
      <c r="AG71" s="29"/>
      <c r="AI71" s="30">
        <v>68</v>
      </c>
      <c r="AJ71" s="31"/>
      <c r="AK71" s="32"/>
      <c r="AL71" s="32"/>
      <c r="AM71" s="32"/>
      <c r="AN71" s="32"/>
      <c r="AO71" s="32"/>
      <c r="AP71" s="32"/>
      <c r="AQ71" s="32"/>
      <c r="AR71" s="32"/>
      <c r="AS71" s="32"/>
      <c r="AT71" s="32"/>
      <c r="AU71" s="32"/>
      <c r="AV71" s="32"/>
      <c r="AW71" s="33"/>
    </row>
    <row r="72" spans="20:49">
      <c r="T72" s="28">
        <v>69</v>
      </c>
      <c r="U72" s="29"/>
      <c r="V72" s="29"/>
      <c r="W72" s="29"/>
      <c r="X72" s="29"/>
      <c r="Y72" s="29"/>
      <c r="Z72" s="29"/>
      <c r="AA72" s="29"/>
      <c r="AB72" s="29"/>
      <c r="AC72" s="29"/>
      <c r="AD72" s="29"/>
      <c r="AE72" s="29"/>
      <c r="AF72" s="29"/>
      <c r="AG72" s="29"/>
      <c r="AI72" s="30">
        <v>69</v>
      </c>
      <c r="AJ72" s="31"/>
      <c r="AK72" s="32"/>
      <c r="AL72" s="32"/>
      <c r="AM72" s="32"/>
      <c r="AN72" s="32"/>
      <c r="AO72" s="32"/>
      <c r="AP72" s="32"/>
      <c r="AQ72" s="32"/>
      <c r="AR72" s="32"/>
      <c r="AS72" s="32"/>
      <c r="AT72" s="32"/>
      <c r="AU72" s="32"/>
      <c r="AV72" s="32"/>
      <c r="AW72" s="33"/>
    </row>
    <row r="73" spans="20:49">
      <c r="T73" s="32">
        <v>70</v>
      </c>
      <c r="U73" s="29"/>
      <c r="V73" s="29"/>
      <c r="W73" s="29"/>
      <c r="X73" s="29"/>
      <c r="Y73" s="29"/>
      <c r="Z73" s="29"/>
      <c r="AA73" s="29"/>
      <c r="AB73" s="29"/>
      <c r="AC73" s="29"/>
      <c r="AD73" s="29"/>
      <c r="AE73" s="29"/>
      <c r="AF73" s="29"/>
      <c r="AG73" s="29"/>
      <c r="AI73" s="30">
        <v>70</v>
      </c>
      <c r="AJ73" s="31"/>
      <c r="AK73" s="32"/>
      <c r="AL73" s="32"/>
      <c r="AM73" s="32"/>
      <c r="AN73" s="32"/>
      <c r="AO73" s="32"/>
      <c r="AP73" s="32"/>
      <c r="AQ73" s="32"/>
      <c r="AR73" s="32"/>
      <c r="AS73" s="32"/>
      <c r="AT73" s="32"/>
      <c r="AU73" s="32"/>
      <c r="AV73" s="32"/>
      <c r="AW73" s="33"/>
    </row>
    <row r="74" spans="20:49">
      <c r="T74" s="28">
        <v>71</v>
      </c>
      <c r="U74" s="29"/>
      <c r="V74" s="29"/>
      <c r="W74" s="29"/>
      <c r="X74" s="29"/>
      <c r="Y74" s="29"/>
      <c r="Z74" s="29"/>
      <c r="AA74" s="29"/>
      <c r="AB74" s="29"/>
      <c r="AC74" s="29"/>
      <c r="AD74" s="29"/>
      <c r="AE74" s="29"/>
      <c r="AF74" s="29"/>
      <c r="AG74" s="29"/>
      <c r="AI74" s="30">
        <v>71</v>
      </c>
      <c r="AJ74" s="31"/>
      <c r="AK74" s="32"/>
      <c r="AL74" s="32"/>
      <c r="AM74" s="32"/>
      <c r="AN74" s="32"/>
      <c r="AO74" s="32"/>
      <c r="AP74" s="32"/>
      <c r="AQ74" s="32"/>
      <c r="AR74" s="32"/>
      <c r="AS74" s="32"/>
      <c r="AT74" s="32"/>
      <c r="AU74" s="32"/>
      <c r="AV74" s="32"/>
      <c r="AW74" s="33"/>
    </row>
    <row r="75" spans="20:49">
      <c r="T75" s="32">
        <v>72</v>
      </c>
      <c r="U75" s="29"/>
      <c r="V75" s="29"/>
      <c r="W75" s="29"/>
      <c r="X75" s="29"/>
      <c r="Y75" s="29"/>
      <c r="Z75" s="29"/>
      <c r="AA75" s="29"/>
      <c r="AB75" s="29"/>
      <c r="AC75" s="29"/>
      <c r="AD75" s="29"/>
      <c r="AE75" s="29"/>
      <c r="AF75" s="29"/>
      <c r="AG75" s="29"/>
      <c r="AI75" s="30">
        <v>72</v>
      </c>
      <c r="AJ75" s="31"/>
      <c r="AK75" s="32"/>
      <c r="AL75" s="32"/>
      <c r="AM75" s="32"/>
      <c r="AN75" s="32"/>
      <c r="AO75" s="32"/>
      <c r="AP75" s="32"/>
      <c r="AQ75" s="32"/>
      <c r="AR75" s="32"/>
      <c r="AS75" s="32"/>
      <c r="AT75" s="32"/>
      <c r="AU75" s="32"/>
      <c r="AV75" s="32"/>
      <c r="AW75" s="33"/>
    </row>
    <row r="76" spans="20:49">
      <c r="T76" s="28">
        <v>73</v>
      </c>
      <c r="U76" s="29"/>
      <c r="V76" s="29"/>
      <c r="W76" s="29"/>
      <c r="X76" s="29"/>
      <c r="Y76" s="29"/>
      <c r="Z76" s="29"/>
      <c r="AA76" s="29"/>
      <c r="AB76" s="29"/>
      <c r="AC76" s="29"/>
      <c r="AD76" s="29"/>
      <c r="AE76" s="29"/>
      <c r="AF76" s="29"/>
      <c r="AG76" s="29"/>
      <c r="AI76" s="30">
        <v>73</v>
      </c>
      <c r="AJ76" s="31"/>
      <c r="AK76" s="32"/>
      <c r="AL76" s="32"/>
      <c r="AM76" s="32"/>
      <c r="AN76" s="32"/>
      <c r="AO76" s="32"/>
      <c r="AP76" s="32"/>
      <c r="AQ76" s="32"/>
      <c r="AR76" s="32"/>
      <c r="AS76" s="32"/>
      <c r="AT76" s="32"/>
      <c r="AU76" s="32"/>
      <c r="AV76" s="32"/>
      <c r="AW76" s="33"/>
    </row>
    <row r="77" spans="20:49">
      <c r="T77" s="32">
        <v>74</v>
      </c>
      <c r="U77" s="29"/>
      <c r="V77" s="29"/>
      <c r="W77" s="29"/>
      <c r="X77" s="29"/>
      <c r="Y77" s="29"/>
      <c r="Z77" s="29"/>
      <c r="AA77" s="29"/>
      <c r="AB77" s="29"/>
      <c r="AC77" s="29"/>
      <c r="AD77" s="29"/>
      <c r="AE77" s="29"/>
      <c r="AF77" s="29"/>
      <c r="AG77" s="29"/>
      <c r="AI77" s="30">
        <v>74</v>
      </c>
      <c r="AJ77" s="31"/>
      <c r="AK77" s="32"/>
      <c r="AL77" s="32"/>
      <c r="AM77" s="32"/>
      <c r="AN77" s="32"/>
      <c r="AO77" s="32"/>
      <c r="AP77" s="32"/>
      <c r="AQ77" s="32"/>
      <c r="AR77" s="32"/>
      <c r="AS77" s="32"/>
      <c r="AT77" s="32"/>
      <c r="AU77" s="32"/>
      <c r="AV77" s="32"/>
      <c r="AW77" s="33"/>
    </row>
    <row r="78" spans="20:49">
      <c r="T78" s="28">
        <v>75</v>
      </c>
      <c r="U78" s="29"/>
      <c r="V78" s="29"/>
      <c r="W78" s="29"/>
      <c r="X78" s="29"/>
      <c r="Y78" s="29"/>
      <c r="Z78" s="29"/>
      <c r="AA78" s="29"/>
      <c r="AB78" s="29"/>
      <c r="AC78" s="29"/>
      <c r="AD78" s="29"/>
      <c r="AE78" s="29"/>
      <c r="AF78" s="29"/>
      <c r="AG78" s="29"/>
      <c r="AI78" s="30">
        <v>75</v>
      </c>
      <c r="AJ78" s="31"/>
      <c r="AK78" s="32"/>
      <c r="AL78" s="32"/>
      <c r="AM78" s="32"/>
      <c r="AN78" s="32"/>
      <c r="AO78" s="32"/>
      <c r="AP78" s="32"/>
      <c r="AQ78" s="32"/>
      <c r="AR78" s="32"/>
      <c r="AS78" s="32"/>
      <c r="AT78" s="32"/>
      <c r="AU78" s="32"/>
      <c r="AV78" s="32"/>
      <c r="AW78" s="33"/>
    </row>
    <row r="79" spans="20:49">
      <c r="T79" s="32">
        <v>76</v>
      </c>
      <c r="U79" s="29"/>
      <c r="V79" s="29"/>
      <c r="W79" s="29"/>
      <c r="X79" s="29"/>
      <c r="Y79" s="29"/>
      <c r="Z79" s="29"/>
      <c r="AA79" s="29"/>
      <c r="AB79" s="29"/>
      <c r="AC79" s="29"/>
      <c r="AD79" s="29"/>
      <c r="AE79" s="29"/>
      <c r="AF79" s="29"/>
      <c r="AG79" s="29"/>
      <c r="AI79" s="30">
        <v>76</v>
      </c>
      <c r="AJ79" s="31"/>
      <c r="AK79" s="32"/>
      <c r="AL79" s="32"/>
      <c r="AM79" s="32"/>
      <c r="AN79" s="32"/>
      <c r="AO79" s="32"/>
      <c r="AP79" s="32"/>
      <c r="AQ79" s="32"/>
      <c r="AR79" s="32"/>
      <c r="AS79" s="32"/>
      <c r="AT79" s="32"/>
      <c r="AU79" s="32"/>
      <c r="AV79" s="32"/>
      <c r="AW79" s="33"/>
    </row>
    <row r="80" spans="20:49">
      <c r="T80" s="28">
        <v>77</v>
      </c>
      <c r="U80" s="29"/>
      <c r="V80" s="29"/>
      <c r="W80" s="29"/>
      <c r="X80" s="29"/>
      <c r="Y80" s="29"/>
      <c r="Z80" s="29"/>
      <c r="AA80" s="29"/>
      <c r="AB80" s="29"/>
      <c r="AC80" s="29"/>
      <c r="AD80" s="29"/>
      <c r="AE80" s="29"/>
      <c r="AF80" s="29"/>
      <c r="AG80" s="29"/>
      <c r="AI80" s="30">
        <v>77</v>
      </c>
      <c r="AJ80" s="31"/>
      <c r="AK80" s="32"/>
      <c r="AL80" s="32"/>
      <c r="AM80" s="32"/>
      <c r="AN80" s="32"/>
      <c r="AO80" s="32"/>
      <c r="AP80" s="32"/>
      <c r="AQ80" s="32"/>
      <c r="AR80" s="32"/>
      <c r="AS80" s="32"/>
      <c r="AT80" s="32"/>
      <c r="AU80" s="32"/>
      <c r="AV80" s="32"/>
      <c r="AW80" s="33"/>
    </row>
    <row r="81" spans="20:49">
      <c r="T81" s="32">
        <v>78</v>
      </c>
      <c r="U81" s="29"/>
      <c r="V81" s="29"/>
      <c r="W81" s="29"/>
      <c r="X81" s="29"/>
      <c r="Y81" s="29"/>
      <c r="Z81" s="29"/>
      <c r="AA81" s="29"/>
      <c r="AB81" s="29"/>
      <c r="AC81" s="29"/>
      <c r="AD81" s="29"/>
      <c r="AE81" s="29"/>
      <c r="AF81" s="29"/>
      <c r="AG81" s="29"/>
      <c r="AI81" s="30">
        <v>78</v>
      </c>
      <c r="AJ81" s="31"/>
      <c r="AK81" s="32"/>
      <c r="AL81" s="32"/>
      <c r="AM81" s="32"/>
      <c r="AN81" s="32"/>
      <c r="AO81" s="32"/>
      <c r="AP81" s="32"/>
      <c r="AQ81" s="32"/>
      <c r="AR81" s="32"/>
      <c r="AS81" s="32"/>
      <c r="AT81" s="32"/>
      <c r="AU81" s="32"/>
      <c r="AV81" s="32"/>
      <c r="AW81" s="33"/>
    </row>
    <row r="82" spans="20:49">
      <c r="T82" s="28">
        <v>79</v>
      </c>
      <c r="U82" s="29"/>
      <c r="V82" s="29"/>
      <c r="W82" s="29"/>
      <c r="X82" s="29"/>
      <c r="Y82" s="29"/>
      <c r="Z82" s="29"/>
      <c r="AA82" s="29"/>
      <c r="AB82" s="29"/>
      <c r="AC82" s="29"/>
      <c r="AD82" s="29"/>
      <c r="AE82" s="29"/>
      <c r="AF82" s="29"/>
      <c r="AG82" s="29"/>
      <c r="AI82" s="30">
        <v>79</v>
      </c>
      <c r="AJ82" s="31"/>
      <c r="AK82" s="32"/>
      <c r="AL82" s="32"/>
      <c r="AM82" s="32"/>
      <c r="AN82" s="32"/>
      <c r="AO82" s="32"/>
      <c r="AP82" s="32"/>
      <c r="AQ82" s="32"/>
      <c r="AR82" s="32"/>
      <c r="AS82" s="32"/>
      <c r="AT82" s="32"/>
      <c r="AU82" s="32"/>
      <c r="AV82" s="32"/>
      <c r="AW82" s="33"/>
    </row>
    <row r="83" spans="20:49">
      <c r="T83" s="32">
        <v>80</v>
      </c>
      <c r="U83" s="29"/>
      <c r="V83" s="29"/>
      <c r="W83" s="29"/>
      <c r="X83" s="29"/>
      <c r="Y83" s="29"/>
      <c r="Z83" s="29"/>
      <c r="AA83" s="29"/>
      <c r="AB83" s="29"/>
      <c r="AC83" s="29"/>
      <c r="AD83" s="29"/>
      <c r="AE83" s="29"/>
      <c r="AF83" s="29"/>
      <c r="AG83" s="29"/>
      <c r="AI83" s="30">
        <v>80</v>
      </c>
      <c r="AJ83" s="31"/>
      <c r="AK83" s="32"/>
      <c r="AL83" s="32"/>
      <c r="AM83" s="32"/>
      <c r="AN83" s="32"/>
      <c r="AO83" s="32"/>
      <c r="AP83" s="32"/>
      <c r="AQ83" s="32"/>
      <c r="AR83" s="32"/>
      <c r="AS83" s="32"/>
      <c r="AT83" s="32"/>
      <c r="AU83" s="32"/>
      <c r="AV83" s="32"/>
      <c r="AW83" s="33"/>
    </row>
    <row r="84" spans="20:49">
      <c r="T84" s="28">
        <v>81</v>
      </c>
      <c r="U84" s="29"/>
      <c r="V84" s="29"/>
      <c r="W84" s="29"/>
      <c r="X84" s="29"/>
      <c r="Y84" s="29"/>
      <c r="Z84" s="29"/>
      <c r="AA84" s="29"/>
      <c r="AB84" s="29"/>
      <c r="AC84" s="29"/>
      <c r="AD84" s="29"/>
      <c r="AE84" s="29"/>
      <c r="AF84" s="29"/>
      <c r="AG84" s="29"/>
      <c r="AI84" s="30">
        <v>81</v>
      </c>
      <c r="AJ84" s="31"/>
      <c r="AK84" s="32"/>
      <c r="AL84" s="32"/>
      <c r="AM84" s="32"/>
      <c r="AN84" s="32"/>
      <c r="AO84" s="32"/>
      <c r="AP84" s="32"/>
      <c r="AQ84" s="32"/>
      <c r="AR84" s="32"/>
      <c r="AS84" s="32"/>
      <c r="AT84" s="32"/>
      <c r="AU84" s="32"/>
      <c r="AV84" s="32"/>
      <c r="AW84" s="33"/>
    </row>
    <row r="85" spans="20:49">
      <c r="T85" s="32">
        <v>82</v>
      </c>
      <c r="U85" s="29"/>
      <c r="V85" s="29"/>
      <c r="W85" s="29"/>
      <c r="X85" s="29"/>
      <c r="Y85" s="29"/>
      <c r="Z85" s="29"/>
      <c r="AA85" s="29"/>
      <c r="AB85" s="29"/>
      <c r="AC85" s="29"/>
      <c r="AD85" s="29"/>
      <c r="AE85" s="29"/>
      <c r="AF85" s="29"/>
      <c r="AG85" s="29"/>
      <c r="AI85" s="30">
        <v>82</v>
      </c>
      <c r="AJ85" s="31"/>
      <c r="AK85" s="32"/>
      <c r="AL85" s="32"/>
      <c r="AM85" s="32"/>
      <c r="AN85" s="32"/>
      <c r="AO85" s="32"/>
      <c r="AP85" s="32"/>
      <c r="AQ85" s="32"/>
      <c r="AR85" s="32"/>
      <c r="AS85" s="32"/>
      <c r="AT85" s="32"/>
      <c r="AU85" s="32"/>
      <c r="AV85" s="32"/>
      <c r="AW85" s="33"/>
    </row>
    <row r="86" spans="20:49">
      <c r="T86" s="28">
        <v>83</v>
      </c>
      <c r="U86" s="29"/>
      <c r="V86" s="29"/>
      <c r="W86" s="29"/>
      <c r="X86" s="29"/>
      <c r="Y86" s="29"/>
      <c r="Z86" s="29"/>
      <c r="AA86" s="29"/>
      <c r="AB86" s="29"/>
      <c r="AC86" s="29"/>
      <c r="AD86" s="29"/>
      <c r="AE86" s="29"/>
      <c r="AF86" s="29"/>
      <c r="AG86" s="29"/>
      <c r="AI86" s="30">
        <v>83</v>
      </c>
      <c r="AJ86" s="31"/>
      <c r="AK86" s="32"/>
      <c r="AL86" s="32"/>
      <c r="AM86" s="32"/>
      <c r="AN86" s="32"/>
      <c r="AO86" s="32"/>
      <c r="AP86" s="32"/>
      <c r="AQ86" s="32"/>
      <c r="AR86" s="32"/>
      <c r="AS86" s="32"/>
      <c r="AT86" s="32"/>
      <c r="AU86" s="32"/>
      <c r="AV86" s="32"/>
      <c r="AW86" s="33"/>
    </row>
    <row r="87" spans="20:49">
      <c r="T87" s="32">
        <v>84</v>
      </c>
      <c r="U87" s="29"/>
      <c r="V87" s="29"/>
      <c r="W87" s="29"/>
      <c r="X87" s="29"/>
      <c r="Y87" s="29"/>
      <c r="Z87" s="29"/>
      <c r="AA87" s="29"/>
      <c r="AB87" s="29"/>
      <c r="AC87" s="29"/>
      <c r="AD87" s="29"/>
      <c r="AE87" s="29"/>
      <c r="AF87" s="29"/>
      <c r="AG87" s="29"/>
      <c r="AI87" s="30">
        <v>84</v>
      </c>
      <c r="AJ87" s="31"/>
      <c r="AK87" s="32"/>
      <c r="AL87" s="32"/>
      <c r="AM87" s="32"/>
      <c r="AN87" s="32"/>
      <c r="AO87" s="32"/>
      <c r="AP87" s="32"/>
      <c r="AQ87" s="32"/>
      <c r="AR87" s="32"/>
      <c r="AS87" s="32"/>
      <c r="AT87" s="32"/>
      <c r="AU87" s="32"/>
      <c r="AV87" s="32"/>
      <c r="AW87" s="33"/>
    </row>
    <row r="88" spans="20:49">
      <c r="T88" s="28">
        <v>85</v>
      </c>
      <c r="U88" s="29"/>
      <c r="V88" s="29"/>
      <c r="W88" s="29"/>
      <c r="X88" s="29"/>
      <c r="Y88" s="29"/>
      <c r="Z88" s="29"/>
      <c r="AA88" s="29"/>
      <c r="AB88" s="29"/>
      <c r="AC88" s="29"/>
      <c r="AD88" s="29"/>
      <c r="AE88" s="29"/>
      <c r="AF88" s="29"/>
      <c r="AG88" s="29"/>
      <c r="AI88" s="30">
        <v>85</v>
      </c>
      <c r="AJ88" s="31"/>
      <c r="AK88" s="32"/>
      <c r="AL88" s="32"/>
      <c r="AM88" s="32"/>
      <c r="AN88" s="32"/>
      <c r="AO88" s="32"/>
      <c r="AP88" s="32"/>
      <c r="AQ88" s="32"/>
      <c r="AR88" s="32"/>
      <c r="AS88" s="32"/>
      <c r="AT88" s="32"/>
      <c r="AU88" s="32"/>
      <c r="AV88" s="32"/>
      <c r="AW88" s="33"/>
    </row>
    <row r="89" spans="20:49">
      <c r="T89" s="32">
        <v>86</v>
      </c>
      <c r="U89" s="29"/>
      <c r="V89" s="29"/>
      <c r="W89" s="29"/>
      <c r="X89" s="29"/>
      <c r="Y89" s="29"/>
      <c r="Z89" s="29"/>
      <c r="AA89" s="29"/>
      <c r="AB89" s="29"/>
      <c r="AC89" s="29"/>
      <c r="AD89" s="29"/>
      <c r="AE89" s="29"/>
      <c r="AF89" s="29"/>
      <c r="AG89" s="29"/>
      <c r="AI89" s="30">
        <v>86</v>
      </c>
      <c r="AJ89" s="31"/>
      <c r="AK89" s="32"/>
      <c r="AL89" s="32"/>
      <c r="AM89" s="32"/>
      <c r="AN89" s="32"/>
      <c r="AO89" s="32"/>
      <c r="AP89" s="32"/>
      <c r="AQ89" s="32"/>
      <c r="AR89" s="32"/>
      <c r="AS89" s="32"/>
      <c r="AT89" s="32"/>
      <c r="AU89" s="32"/>
      <c r="AV89" s="32"/>
      <c r="AW89" s="33"/>
    </row>
    <row r="90" spans="20:49">
      <c r="T90" s="28">
        <v>87</v>
      </c>
      <c r="U90" s="29"/>
      <c r="V90" s="29"/>
      <c r="W90" s="29"/>
      <c r="X90" s="29"/>
      <c r="Y90" s="29"/>
      <c r="Z90" s="29"/>
      <c r="AA90" s="29"/>
      <c r="AB90" s="29"/>
      <c r="AC90" s="29"/>
      <c r="AD90" s="29"/>
      <c r="AE90" s="29"/>
      <c r="AF90" s="29"/>
      <c r="AG90" s="29"/>
      <c r="AI90" s="30">
        <v>87</v>
      </c>
      <c r="AJ90" s="31"/>
      <c r="AK90" s="32"/>
      <c r="AL90" s="32"/>
      <c r="AM90" s="32"/>
      <c r="AN90" s="32"/>
      <c r="AO90" s="32"/>
      <c r="AP90" s="32"/>
      <c r="AQ90" s="32"/>
      <c r="AR90" s="32"/>
      <c r="AS90" s="32"/>
      <c r="AT90" s="32"/>
      <c r="AU90" s="32"/>
      <c r="AV90" s="32"/>
      <c r="AW90" s="33"/>
    </row>
    <row r="91" spans="20:49">
      <c r="T91" s="32">
        <v>88</v>
      </c>
      <c r="U91" s="29"/>
      <c r="V91" s="29"/>
      <c r="W91" s="29"/>
      <c r="X91" s="29"/>
      <c r="Y91" s="29"/>
      <c r="Z91" s="29"/>
      <c r="AA91" s="29"/>
      <c r="AB91" s="29"/>
      <c r="AC91" s="29"/>
      <c r="AD91" s="29"/>
      <c r="AE91" s="29"/>
      <c r="AF91" s="29"/>
      <c r="AG91" s="29"/>
      <c r="AI91" s="30">
        <v>88</v>
      </c>
      <c r="AJ91" s="31"/>
      <c r="AK91" s="32"/>
      <c r="AL91" s="32"/>
      <c r="AM91" s="32"/>
      <c r="AN91" s="32"/>
      <c r="AO91" s="32"/>
      <c r="AP91" s="32"/>
      <c r="AQ91" s="32"/>
      <c r="AR91" s="32"/>
      <c r="AS91" s="32"/>
      <c r="AT91" s="32"/>
      <c r="AU91" s="32"/>
      <c r="AV91" s="32"/>
      <c r="AW91" s="33"/>
    </row>
    <row r="92" spans="20:49">
      <c r="T92" s="28">
        <v>89</v>
      </c>
      <c r="U92" s="29"/>
      <c r="V92" s="29"/>
      <c r="W92" s="29"/>
      <c r="X92" s="29"/>
      <c r="Y92" s="29"/>
      <c r="Z92" s="29"/>
      <c r="AA92" s="29"/>
      <c r="AB92" s="29"/>
      <c r="AC92" s="29"/>
      <c r="AD92" s="29"/>
      <c r="AE92" s="29"/>
      <c r="AF92" s="29"/>
      <c r="AG92" s="29"/>
      <c r="AI92" s="30">
        <v>89</v>
      </c>
      <c r="AJ92" s="31"/>
      <c r="AK92" s="32"/>
      <c r="AL92" s="32"/>
      <c r="AM92" s="32"/>
      <c r="AN92" s="32"/>
      <c r="AO92" s="32"/>
      <c r="AP92" s="32"/>
      <c r="AQ92" s="32"/>
      <c r="AR92" s="32"/>
      <c r="AS92" s="32"/>
      <c r="AT92" s="32"/>
      <c r="AU92" s="32"/>
      <c r="AV92" s="32"/>
      <c r="AW92" s="33"/>
    </row>
    <row r="93" spans="20:49">
      <c r="T93" s="32">
        <v>90</v>
      </c>
      <c r="U93" s="29"/>
      <c r="V93" s="29"/>
      <c r="W93" s="29"/>
      <c r="X93" s="29"/>
      <c r="Y93" s="29"/>
      <c r="Z93" s="29"/>
      <c r="AA93" s="29"/>
      <c r="AB93" s="29"/>
      <c r="AC93" s="29"/>
      <c r="AD93" s="29"/>
      <c r="AE93" s="29"/>
      <c r="AF93" s="29"/>
      <c r="AG93" s="29"/>
      <c r="AI93" s="30">
        <v>90</v>
      </c>
      <c r="AJ93" s="31"/>
      <c r="AK93" s="32"/>
      <c r="AL93" s="32"/>
      <c r="AM93" s="32"/>
      <c r="AN93" s="32"/>
      <c r="AO93" s="32"/>
      <c r="AP93" s="32"/>
      <c r="AQ93" s="32"/>
      <c r="AR93" s="32"/>
      <c r="AS93" s="32"/>
      <c r="AT93" s="32"/>
      <c r="AU93" s="32"/>
      <c r="AV93" s="32"/>
      <c r="AW93" s="33"/>
    </row>
    <row r="94" spans="20:49">
      <c r="T94" s="28">
        <v>91</v>
      </c>
      <c r="U94" s="29"/>
      <c r="V94" s="29"/>
      <c r="W94" s="29"/>
      <c r="X94" s="29"/>
      <c r="Y94" s="29"/>
      <c r="Z94" s="29"/>
      <c r="AA94" s="29"/>
      <c r="AB94" s="29"/>
      <c r="AC94" s="29"/>
      <c r="AD94" s="29"/>
      <c r="AE94" s="29"/>
      <c r="AF94" s="29"/>
      <c r="AG94" s="29"/>
      <c r="AI94" s="30">
        <v>91</v>
      </c>
      <c r="AJ94" s="31"/>
      <c r="AK94" s="32"/>
      <c r="AL94" s="32"/>
      <c r="AM94" s="32"/>
      <c r="AN94" s="32"/>
      <c r="AO94" s="32"/>
      <c r="AP94" s="32"/>
      <c r="AQ94" s="32"/>
      <c r="AR94" s="32"/>
      <c r="AS94" s="32"/>
      <c r="AT94" s="32"/>
      <c r="AU94" s="32"/>
      <c r="AV94" s="32"/>
      <c r="AW94" s="33"/>
    </row>
    <row r="95" spans="20:49">
      <c r="T95" s="32">
        <v>92</v>
      </c>
      <c r="U95" s="29"/>
      <c r="V95" s="29"/>
      <c r="W95" s="29"/>
      <c r="X95" s="29"/>
      <c r="Y95" s="29"/>
      <c r="Z95" s="29"/>
      <c r="AA95" s="29"/>
      <c r="AB95" s="29"/>
      <c r="AC95" s="29"/>
      <c r="AD95" s="29"/>
      <c r="AE95" s="29"/>
      <c r="AF95" s="29"/>
      <c r="AG95" s="29"/>
      <c r="AI95" s="30">
        <v>92</v>
      </c>
      <c r="AJ95" s="31"/>
      <c r="AK95" s="32"/>
      <c r="AL95" s="32"/>
      <c r="AM95" s="32"/>
      <c r="AN95" s="32"/>
      <c r="AO95" s="32"/>
      <c r="AP95" s="32"/>
      <c r="AQ95" s="32"/>
      <c r="AR95" s="32"/>
      <c r="AS95" s="32"/>
      <c r="AT95" s="32"/>
      <c r="AU95" s="32"/>
      <c r="AV95" s="32"/>
      <c r="AW95" s="33"/>
    </row>
    <row r="96" spans="20:49">
      <c r="T96" s="28">
        <v>93</v>
      </c>
      <c r="U96" s="29"/>
      <c r="V96" s="29"/>
      <c r="W96" s="29"/>
      <c r="X96" s="29"/>
      <c r="Y96" s="29"/>
      <c r="Z96" s="29"/>
      <c r="AA96" s="29"/>
      <c r="AB96" s="29"/>
      <c r="AC96" s="29"/>
      <c r="AD96" s="29"/>
      <c r="AE96" s="29"/>
      <c r="AF96" s="29"/>
      <c r="AG96" s="29"/>
      <c r="AI96" s="30">
        <v>93</v>
      </c>
      <c r="AJ96" s="31"/>
      <c r="AK96" s="32"/>
      <c r="AL96" s="32"/>
      <c r="AM96" s="32"/>
      <c r="AN96" s="32"/>
      <c r="AO96" s="32"/>
      <c r="AP96" s="32"/>
      <c r="AQ96" s="32"/>
      <c r="AR96" s="32"/>
      <c r="AS96" s="32"/>
      <c r="AT96" s="32"/>
      <c r="AU96" s="32"/>
      <c r="AV96" s="32"/>
      <c r="AW96" s="33"/>
    </row>
    <row r="97" spans="20:49">
      <c r="T97" s="32">
        <v>94</v>
      </c>
      <c r="U97" s="29"/>
      <c r="V97" s="29"/>
      <c r="W97" s="29"/>
      <c r="X97" s="29"/>
      <c r="Y97" s="29"/>
      <c r="Z97" s="29"/>
      <c r="AA97" s="29"/>
      <c r="AB97" s="29"/>
      <c r="AC97" s="29"/>
      <c r="AD97" s="29"/>
      <c r="AE97" s="29"/>
      <c r="AF97" s="29"/>
      <c r="AG97" s="29"/>
      <c r="AI97" s="30">
        <v>94</v>
      </c>
      <c r="AJ97" s="31"/>
      <c r="AK97" s="32"/>
      <c r="AL97" s="32"/>
      <c r="AM97" s="32"/>
      <c r="AN97" s="32"/>
      <c r="AO97" s="32"/>
      <c r="AP97" s="32"/>
      <c r="AQ97" s="32"/>
      <c r="AR97" s="32"/>
      <c r="AS97" s="32"/>
      <c r="AT97" s="32"/>
      <c r="AU97" s="32"/>
      <c r="AV97" s="32"/>
      <c r="AW97" s="33"/>
    </row>
    <row r="98" spans="20:49">
      <c r="T98" s="28">
        <v>95</v>
      </c>
      <c r="U98" s="29"/>
      <c r="V98" s="29"/>
      <c r="W98" s="29"/>
      <c r="X98" s="29"/>
      <c r="Y98" s="29"/>
      <c r="Z98" s="29"/>
      <c r="AA98" s="29"/>
      <c r="AB98" s="29"/>
      <c r="AC98" s="29"/>
      <c r="AD98" s="29"/>
      <c r="AE98" s="29"/>
      <c r="AF98" s="29"/>
      <c r="AG98" s="29"/>
      <c r="AI98" s="30">
        <v>95</v>
      </c>
      <c r="AJ98" s="31"/>
      <c r="AK98" s="32"/>
      <c r="AL98" s="32"/>
      <c r="AM98" s="32"/>
      <c r="AN98" s="32"/>
      <c r="AO98" s="32"/>
      <c r="AP98" s="32"/>
      <c r="AQ98" s="32"/>
      <c r="AR98" s="32"/>
      <c r="AS98" s="32"/>
      <c r="AT98" s="32"/>
      <c r="AU98" s="32"/>
      <c r="AV98" s="32"/>
      <c r="AW98" s="33"/>
    </row>
    <row r="99" spans="20:49">
      <c r="T99" s="32">
        <v>96</v>
      </c>
      <c r="U99" s="29"/>
      <c r="V99" s="29"/>
      <c r="W99" s="29"/>
      <c r="X99" s="29"/>
      <c r="Y99" s="29"/>
      <c r="Z99" s="29"/>
      <c r="AA99" s="29"/>
      <c r="AB99" s="29"/>
      <c r="AC99" s="29"/>
      <c r="AD99" s="29"/>
      <c r="AE99" s="29"/>
      <c r="AF99" s="29"/>
      <c r="AG99" s="29"/>
      <c r="AI99" s="30">
        <v>96</v>
      </c>
      <c r="AJ99" s="31"/>
      <c r="AK99" s="32"/>
      <c r="AL99" s="32"/>
      <c r="AM99" s="32"/>
      <c r="AN99" s="32"/>
      <c r="AO99" s="32"/>
      <c r="AP99" s="32"/>
      <c r="AQ99" s="32"/>
      <c r="AR99" s="32"/>
      <c r="AS99" s="32"/>
      <c r="AT99" s="32"/>
      <c r="AU99" s="32"/>
      <c r="AV99" s="32"/>
      <c r="AW99" s="33"/>
    </row>
    <row r="100" spans="20:49">
      <c r="T100" s="28">
        <v>97</v>
      </c>
      <c r="U100" s="29"/>
      <c r="V100" s="29"/>
      <c r="W100" s="29"/>
      <c r="X100" s="29"/>
      <c r="Y100" s="29"/>
      <c r="Z100" s="29"/>
      <c r="AA100" s="29"/>
      <c r="AB100" s="29"/>
      <c r="AC100" s="29"/>
      <c r="AD100" s="29"/>
      <c r="AE100" s="29"/>
      <c r="AF100" s="29"/>
      <c r="AG100" s="29"/>
      <c r="AI100" s="30">
        <v>97</v>
      </c>
      <c r="AJ100" s="31"/>
      <c r="AK100" s="32"/>
      <c r="AL100" s="32"/>
      <c r="AM100" s="32"/>
      <c r="AN100" s="32"/>
      <c r="AO100" s="32"/>
      <c r="AP100" s="32"/>
      <c r="AQ100" s="32"/>
      <c r="AR100" s="32"/>
      <c r="AS100" s="32"/>
      <c r="AT100" s="32"/>
      <c r="AU100" s="32"/>
      <c r="AV100" s="32"/>
      <c r="AW100" s="33"/>
    </row>
    <row r="101" spans="20:49">
      <c r="T101" s="32">
        <v>98</v>
      </c>
      <c r="U101" s="29"/>
      <c r="V101" s="29"/>
      <c r="W101" s="29"/>
      <c r="X101" s="29"/>
      <c r="Y101" s="29"/>
      <c r="Z101" s="29"/>
      <c r="AA101" s="29"/>
      <c r="AB101" s="29"/>
      <c r="AC101" s="29"/>
      <c r="AD101" s="29"/>
      <c r="AE101" s="29"/>
      <c r="AF101" s="29"/>
      <c r="AG101" s="29"/>
      <c r="AI101" s="30">
        <v>98</v>
      </c>
      <c r="AJ101" s="31"/>
      <c r="AK101" s="32"/>
      <c r="AL101" s="32"/>
      <c r="AM101" s="32"/>
      <c r="AN101" s="32"/>
      <c r="AO101" s="32"/>
      <c r="AP101" s="32"/>
      <c r="AQ101" s="32"/>
      <c r="AR101" s="32"/>
      <c r="AS101" s="32"/>
      <c r="AT101" s="32"/>
      <c r="AU101" s="32"/>
      <c r="AV101" s="32"/>
      <c r="AW101" s="33"/>
    </row>
    <row r="102" spans="20:49">
      <c r="T102" s="28">
        <v>99</v>
      </c>
      <c r="U102" s="29"/>
      <c r="V102" s="29"/>
      <c r="W102" s="29"/>
      <c r="X102" s="29"/>
      <c r="Y102" s="29"/>
      <c r="Z102" s="29"/>
      <c r="AA102" s="29"/>
      <c r="AB102" s="29"/>
      <c r="AC102" s="29"/>
      <c r="AD102" s="29"/>
      <c r="AE102" s="29"/>
      <c r="AF102" s="29"/>
      <c r="AG102" s="29"/>
      <c r="AI102" s="30">
        <v>99</v>
      </c>
      <c r="AJ102" s="31"/>
      <c r="AK102" s="32"/>
      <c r="AL102" s="32"/>
      <c r="AM102" s="32"/>
      <c r="AN102" s="32"/>
      <c r="AO102" s="32"/>
      <c r="AP102" s="32"/>
      <c r="AQ102" s="32"/>
      <c r="AR102" s="32"/>
      <c r="AS102" s="32"/>
      <c r="AT102" s="32"/>
      <c r="AU102" s="32"/>
      <c r="AV102" s="32"/>
      <c r="AW102" s="33"/>
    </row>
    <row r="103" spans="20:49">
      <c r="T103" s="32">
        <v>100</v>
      </c>
      <c r="U103" s="29"/>
      <c r="V103" s="29"/>
      <c r="W103" s="29"/>
      <c r="X103" s="29"/>
      <c r="Y103" s="29"/>
      <c r="Z103" s="29"/>
      <c r="AA103" s="29"/>
      <c r="AB103" s="29"/>
      <c r="AC103" s="29"/>
      <c r="AD103" s="29"/>
      <c r="AE103" s="29"/>
      <c r="AF103" s="29"/>
      <c r="AG103" s="29"/>
      <c r="AI103" s="30">
        <v>100</v>
      </c>
      <c r="AJ103" s="64"/>
      <c r="AK103" s="32"/>
      <c r="AL103" s="32"/>
      <c r="AM103" s="32"/>
      <c r="AN103" s="32"/>
      <c r="AO103" s="32"/>
      <c r="AP103" s="32"/>
      <c r="AQ103" s="32"/>
      <c r="AR103" s="32"/>
      <c r="AS103" s="32"/>
      <c r="AT103" s="32"/>
      <c r="AU103" s="32"/>
      <c r="AV103" s="32"/>
      <c r="AW103" s="33"/>
    </row>
    <row r="104" spans="20:49">
      <c r="T104" s="65"/>
      <c r="U104" s="66"/>
      <c r="V104" s="66"/>
      <c r="W104" s="66"/>
      <c r="X104" s="66"/>
      <c r="Y104" s="66"/>
      <c r="Z104" s="66"/>
      <c r="AA104" s="66"/>
      <c r="AB104" s="66"/>
      <c r="AC104" s="66"/>
      <c r="AD104" s="66"/>
      <c r="AE104" s="66"/>
      <c r="AF104" s="66"/>
      <c r="AG104" s="66"/>
      <c r="AH104" s="67"/>
      <c r="AI104" s="68"/>
      <c r="AJ104" s="69"/>
      <c r="AK104" s="69"/>
      <c r="AL104" s="69"/>
      <c r="AM104" s="69"/>
      <c r="AN104" s="69"/>
      <c r="AO104" s="69"/>
      <c r="AP104" s="69"/>
      <c r="AQ104" s="69"/>
      <c r="AR104" s="169" t="s">
        <v>62</v>
      </c>
      <c r="AS104" s="169"/>
      <c r="AT104" s="169"/>
      <c r="AU104" s="169"/>
      <c r="AV104" s="169"/>
      <c r="AW104" s="70"/>
    </row>
  </sheetData>
  <mergeCells count="49">
    <mergeCell ref="N31:O31"/>
    <mergeCell ref="N32:O32"/>
    <mergeCell ref="AR104:AV104"/>
    <mergeCell ref="D28:F28"/>
    <mergeCell ref="N28:O28"/>
    <mergeCell ref="D29:F29"/>
    <mergeCell ref="N29:O29"/>
    <mergeCell ref="N30:O30"/>
    <mergeCell ref="N24:O24"/>
    <mergeCell ref="N25:O25"/>
    <mergeCell ref="D26:F26"/>
    <mergeCell ref="N26:O26"/>
    <mergeCell ref="D27:F27"/>
    <mergeCell ref="N27:O27"/>
    <mergeCell ref="D21:F21"/>
    <mergeCell ref="N21:O21"/>
    <mergeCell ref="D22:F22"/>
    <mergeCell ref="N22:O22"/>
    <mergeCell ref="D23:F23"/>
    <mergeCell ref="N23:O23"/>
    <mergeCell ref="O17:Q17"/>
    <mergeCell ref="D18:F18"/>
    <mergeCell ref="D19:F19"/>
    <mergeCell ref="M19:M20"/>
    <mergeCell ref="N19:O20"/>
    <mergeCell ref="P19:P20"/>
    <mergeCell ref="Q19:Q20"/>
    <mergeCell ref="D20:F20"/>
    <mergeCell ref="M12:M13"/>
    <mergeCell ref="N12:N13"/>
    <mergeCell ref="O12:Q13"/>
    <mergeCell ref="O15:Q15"/>
    <mergeCell ref="O16:Q16"/>
    <mergeCell ref="T2:AG2"/>
    <mergeCell ref="AI2:AW2"/>
    <mergeCell ref="C10:C11"/>
    <mergeCell ref="D10:D11"/>
    <mergeCell ref="E10:E11"/>
    <mergeCell ref="G10:G11"/>
    <mergeCell ref="H10:H11"/>
    <mergeCell ref="I10:I11"/>
    <mergeCell ref="M10:M11"/>
    <mergeCell ref="N10:N11"/>
    <mergeCell ref="O10:Q11"/>
    <mergeCell ref="B2:J8"/>
    <mergeCell ref="M2:M3"/>
    <mergeCell ref="N2:N3"/>
    <mergeCell ref="P2:P3"/>
    <mergeCell ref="Q2:Q3"/>
  </mergeCells>
  <phoneticPr fontId="13" type="noConversion"/>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03"/>
  <sheetViews>
    <sheetView topLeftCell="A8" zoomScale="120" zoomScaleNormal="120" workbookViewId="0">
      <selection activeCell="M30" sqref="M30"/>
    </sheetView>
  </sheetViews>
  <sheetFormatPr defaultColWidth="9.140625" defaultRowHeight="15.75"/>
  <cols>
    <col min="1" max="1" width="3.7109375" style="15" customWidth="1"/>
    <col min="2" max="2" width="9.140625" style="15"/>
    <col min="3" max="5" width="14.42578125" style="15" customWidth="1"/>
    <col min="6" max="6" width="10" style="15" customWidth="1"/>
    <col min="7" max="9" width="14.42578125" style="15" customWidth="1"/>
    <col min="10" max="10" width="9.140625" style="15"/>
    <col min="11" max="11" width="3.7109375" style="15" customWidth="1"/>
    <col min="12" max="12" width="4.28515625" style="16" customWidth="1"/>
    <col min="13" max="13" width="16" style="15" customWidth="1"/>
    <col min="14" max="14" width="16" style="16" customWidth="1"/>
    <col min="15" max="15" width="5.42578125" style="15" customWidth="1"/>
    <col min="16" max="16" width="9.7109375" style="15" customWidth="1"/>
    <col min="17" max="17" width="14.7109375" style="71" customWidth="1"/>
    <col min="18" max="18" width="14.7109375" style="15" customWidth="1"/>
    <col min="19" max="19" width="5.28515625" style="15" customWidth="1"/>
    <col min="20" max="20" width="9.140625" style="15"/>
    <col min="21" max="25" width="12.42578125" style="15" customWidth="1"/>
    <col min="26" max="26" width="12.42578125" style="72" customWidth="1"/>
    <col min="27" max="31" width="12.42578125" style="15" customWidth="1"/>
    <col min="32" max="16384" width="9.140625" style="15"/>
  </cols>
  <sheetData>
    <row r="1" spans="1:31">
      <c r="A1" s="170"/>
      <c r="B1" s="171"/>
      <c r="C1" s="171"/>
      <c r="D1" s="171"/>
      <c r="E1" s="171"/>
      <c r="F1" s="171"/>
      <c r="G1" s="171"/>
      <c r="H1" s="171"/>
      <c r="I1" s="171"/>
      <c r="J1" s="171"/>
      <c r="K1" s="170"/>
    </row>
    <row r="2" spans="1:31" ht="18.75" customHeight="1">
      <c r="A2" s="170"/>
      <c r="B2" s="14" t="s">
        <v>63</v>
      </c>
      <c r="C2" s="14"/>
      <c r="D2" s="14"/>
      <c r="E2" s="14"/>
      <c r="F2" s="14"/>
      <c r="G2" s="14"/>
      <c r="H2" s="14"/>
      <c r="I2" s="14"/>
      <c r="J2" s="14"/>
      <c r="K2" s="170"/>
      <c r="L2" s="19"/>
      <c r="O2" s="20"/>
      <c r="P2" s="9" t="s">
        <v>64</v>
      </c>
      <c r="Q2" s="9"/>
      <c r="R2" s="9"/>
      <c r="T2" s="9" t="s">
        <v>65</v>
      </c>
      <c r="U2" s="9"/>
      <c r="V2" s="9"/>
      <c r="W2" s="9"/>
      <c r="X2" s="9"/>
      <c r="Y2" s="9"/>
      <c r="Z2" s="9"/>
      <c r="AA2" s="9"/>
      <c r="AB2" s="9"/>
      <c r="AC2" s="9"/>
      <c r="AD2" s="9"/>
      <c r="AE2" s="9"/>
    </row>
    <row r="3" spans="1:31" ht="30" customHeight="1">
      <c r="A3" s="170"/>
      <c r="B3" s="14"/>
      <c r="C3" s="14"/>
      <c r="D3" s="14"/>
      <c r="E3" s="14"/>
      <c r="F3" s="14"/>
      <c r="G3" s="14"/>
      <c r="H3" s="14"/>
      <c r="I3" s="14"/>
      <c r="J3" s="14"/>
      <c r="K3" s="170"/>
      <c r="M3" s="73" t="s">
        <v>1</v>
      </c>
      <c r="N3" s="74" t="s">
        <v>66</v>
      </c>
      <c r="O3" s="20"/>
      <c r="P3" s="21" t="s">
        <v>6</v>
      </c>
      <c r="Q3" s="75" t="s">
        <v>2</v>
      </c>
      <c r="R3" s="76" t="s">
        <v>7</v>
      </c>
      <c r="T3" s="77" t="s">
        <v>67</v>
      </c>
      <c r="U3" s="78" t="s">
        <v>68</v>
      </c>
      <c r="V3" s="78" t="s">
        <v>69</v>
      </c>
      <c r="W3" s="78" t="s">
        <v>70</v>
      </c>
      <c r="X3" s="78" t="s">
        <v>71</v>
      </c>
      <c r="Y3" s="78" t="s">
        <v>72</v>
      </c>
      <c r="Z3" s="79" t="s">
        <v>73</v>
      </c>
      <c r="AA3" s="78" t="s">
        <v>74</v>
      </c>
      <c r="AB3" s="78" t="s">
        <v>75</v>
      </c>
      <c r="AC3" s="78" t="s">
        <v>76</v>
      </c>
      <c r="AD3" s="78" t="s">
        <v>77</v>
      </c>
      <c r="AE3" s="78" t="s">
        <v>78</v>
      </c>
    </row>
    <row r="4" spans="1:31" ht="16.5" customHeight="1">
      <c r="A4" s="170"/>
      <c r="B4" s="14"/>
      <c r="C4" s="14"/>
      <c r="D4" s="14"/>
      <c r="E4" s="14"/>
      <c r="F4" s="14"/>
      <c r="G4" s="14"/>
      <c r="H4" s="14"/>
      <c r="I4" s="14"/>
      <c r="J4" s="14"/>
      <c r="K4" s="170"/>
      <c r="M4" s="80"/>
      <c r="N4" s="81"/>
      <c r="O4" s="16"/>
      <c r="P4" s="28">
        <v>1</v>
      </c>
      <c r="Q4" s="82"/>
      <c r="R4" s="29"/>
      <c r="T4" s="83">
        <v>1</v>
      </c>
      <c r="U4" s="68"/>
      <c r="V4" s="84"/>
      <c r="W4" s="68"/>
      <c r="X4" s="68"/>
      <c r="Y4" s="68"/>
      <c r="Z4" s="85"/>
      <c r="AA4" s="68"/>
      <c r="AB4" s="86"/>
      <c r="AC4" s="86"/>
      <c r="AD4" s="86"/>
      <c r="AE4" s="87"/>
    </row>
    <row r="5" spans="1:31">
      <c r="A5" s="170"/>
      <c r="B5" s="14"/>
      <c r="C5" s="14"/>
      <c r="D5" s="14"/>
      <c r="E5" s="14"/>
      <c r="F5" s="14"/>
      <c r="G5" s="14"/>
      <c r="H5" s="14"/>
      <c r="I5" s="14"/>
      <c r="J5" s="14"/>
      <c r="K5" s="170"/>
      <c r="M5" s="80"/>
      <c r="N5" s="81"/>
      <c r="O5" s="16"/>
      <c r="P5" s="32">
        <v>2</v>
      </c>
      <c r="Q5" s="82"/>
      <c r="R5" s="29"/>
      <c r="T5" s="30">
        <v>2</v>
      </c>
      <c r="U5" s="88"/>
      <c r="V5" s="89"/>
      <c r="W5" s="88"/>
      <c r="X5" s="88"/>
      <c r="Y5" s="88"/>
      <c r="Z5" s="90"/>
      <c r="AA5" s="88"/>
      <c r="AB5" s="91"/>
      <c r="AC5" s="91"/>
      <c r="AD5" s="91"/>
      <c r="AE5" s="87"/>
    </row>
    <row r="6" spans="1:31">
      <c r="A6" s="170"/>
      <c r="B6" s="14"/>
      <c r="C6" s="14"/>
      <c r="D6" s="14"/>
      <c r="E6" s="14"/>
      <c r="F6" s="14"/>
      <c r="G6" s="14"/>
      <c r="H6" s="14"/>
      <c r="I6" s="14"/>
      <c r="J6" s="14"/>
      <c r="K6" s="170"/>
      <c r="M6" s="80"/>
      <c r="N6" s="81"/>
      <c r="O6" s="16"/>
      <c r="P6" s="28">
        <v>3</v>
      </c>
      <c r="Q6" s="82"/>
      <c r="R6" s="29"/>
      <c r="T6" s="30">
        <v>3</v>
      </c>
      <c r="U6" s="88"/>
      <c r="V6" s="89"/>
      <c r="W6" s="88"/>
      <c r="X6" s="88"/>
      <c r="Y6" s="88"/>
      <c r="Z6" s="90"/>
      <c r="AA6" s="88"/>
      <c r="AB6" s="91"/>
      <c r="AC6" s="91"/>
      <c r="AD6" s="91"/>
      <c r="AE6" s="87"/>
    </row>
    <row r="7" spans="1:31">
      <c r="A7" s="170"/>
      <c r="B7" s="14"/>
      <c r="C7" s="14"/>
      <c r="D7" s="14"/>
      <c r="E7" s="14"/>
      <c r="F7" s="14"/>
      <c r="G7" s="14"/>
      <c r="H7" s="14"/>
      <c r="I7" s="14"/>
      <c r="J7" s="14"/>
      <c r="K7" s="170"/>
      <c r="M7" s="80"/>
      <c r="N7" s="81"/>
      <c r="O7" s="16"/>
      <c r="P7" s="32">
        <v>4</v>
      </c>
      <c r="Q7" s="82"/>
      <c r="R7" s="29"/>
      <c r="T7" s="30">
        <v>4</v>
      </c>
      <c r="U7" s="88"/>
      <c r="V7" s="89"/>
      <c r="W7" s="88"/>
      <c r="X7" s="88"/>
      <c r="Y7" s="88"/>
      <c r="Z7" s="90"/>
      <c r="AA7" s="88"/>
      <c r="AB7" s="91"/>
      <c r="AC7" s="91"/>
      <c r="AD7" s="91"/>
      <c r="AE7" s="87"/>
    </row>
    <row r="8" spans="1:31">
      <c r="A8" s="170"/>
      <c r="B8" s="14"/>
      <c r="C8" s="14"/>
      <c r="D8" s="14"/>
      <c r="E8" s="14"/>
      <c r="F8" s="14"/>
      <c r="G8" s="14"/>
      <c r="H8" s="14"/>
      <c r="I8" s="14"/>
      <c r="J8" s="14"/>
      <c r="K8" s="170"/>
      <c r="M8" s="92"/>
      <c r="N8" s="61"/>
      <c r="O8" s="16"/>
      <c r="P8" s="28">
        <v>5</v>
      </c>
      <c r="Q8" s="82"/>
      <c r="R8" s="29"/>
      <c r="T8" s="30">
        <v>5</v>
      </c>
      <c r="U8" s="88"/>
      <c r="V8" s="89"/>
      <c r="W8" s="88"/>
      <c r="X8" s="88"/>
      <c r="Y8" s="88"/>
      <c r="Z8" s="90"/>
      <c r="AA8" s="88"/>
      <c r="AB8" s="91"/>
      <c r="AC8" s="91"/>
      <c r="AD8" s="91"/>
      <c r="AE8" s="87"/>
    </row>
    <row r="9" spans="1:31">
      <c r="A9" s="170"/>
      <c r="K9" s="170"/>
      <c r="O9" s="16"/>
      <c r="P9" s="32">
        <v>6</v>
      </c>
      <c r="Q9" s="82"/>
      <c r="R9" s="29"/>
      <c r="T9" s="30">
        <v>6</v>
      </c>
      <c r="U9" s="88"/>
      <c r="V9" s="89"/>
      <c r="W9" s="88"/>
      <c r="X9" s="88"/>
      <c r="Y9" s="88"/>
      <c r="Z9" s="90"/>
      <c r="AA9" s="88"/>
      <c r="AB9" s="91"/>
      <c r="AC9" s="91"/>
      <c r="AD9" s="91"/>
      <c r="AE9" s="87"/>
    </row>
    <row r="10" spans="1:31" ht="15" customHeight="1">
      <c r="A10" s="170"/>
      <c r="C10" s="8" t="s">
        <v>2</v>
      </c>
      <c r="D10" s="7" t="s">
        <v>35</v>
      </c>
      <c r="E10" s="6" t="s">
        <v>1</v>
      </c>
      <c r="G10" s="13" t="s">
        <v>36</v>
      </c>
      <c r="H10" s="7" t="s">
        <v>35</v>
      </c>
      <c r="I10" s="6" t="s">
        <v>1</v>
      </c>
      <c r="K10" s="170"/>
      <c r="M10" s="172" t="s">
        <v>1</v>
      </c>
      <c r="N10" s="173" t="s">
        <v>79</v>
      </c>
      <c r="O10" s="16"/>
      <c r="P10" s="28">
        <v>7</v>
      </c>
      <c r="Q10" s="82"/>
      <c r="R10" s="29"/>
      <c r="T10" s="30">
        <v>7</v>
      </c>
      <c r="U10" s="88"/>
      <c r="V10" s="89"/>
      <c r="W10" s="88"/>
      <c r="X10" s="88"/>
      <c r="Y10" s="88"/>
      <c r="Z10" s="90"/>
      <c r="AA10" s="88"/>
      <c r="AB10" s="91"/>
      <c r="AC10" s="91"/>
      <c r="AD10" s="91"/>
      <c r="AE10" s="87"/>
    </row>
    <row r="11" spans="1:31" ht="16.5" customHeight="1">
      <c r="A11" s="170"/>
      <c r="B11" s="15" t="s">
        <v>80</v>
      </c>
      <c r="C11" s="8"/>
      <c r="D11" s="7"/>
      <c r="E11" s="6"/>
      <c r="F11" s="15" t="s">
        <v>80</v>
      </c>
      <c r="G11" s="13"/>
      <c r="H11" s="7"/>
      <c r="I11" s="6"/>
      <c r="K11" s="170"/>
      <c r="M11" s="172"/>
      <c r="N11" s="173"/>
      <c r="O11" s="16"/>
      <c r="P11" s="32">
        <v>8</v>
      </c>
      <c r="Q11" s="82"/>
      <c r="R11" s="29"/>
      <c r="T11" s="30">
        <v>8</v>
      </c>
      <c r="U11" s="88"/>
      <c r="V11" s="89"/>
      <c r="W11" s="88"/>
      <c r="X11" s="88"/>
      <c r="Y11" s="88"/>
      <c r="Z11" s="90"/>
      <c r="AA11" s="88"/>
      <c r="AB11" s="91"/>
      <c r="AC11" s="91"/>
      <c r="AD11" s="91"/>
      <c r="AE11" s="87"/>
    </row>
    <row r="12" spans="1:31" ht="16.5" customHeight="1">
      <c r="A12" s="170"/>
      <c r="B12" s="93">
        <f>SUMPRODUCT(C12:C16,D12:D16)</f>
        <v>27</v>
      </c>
      <c r="C12" s="25">
        <v>18</v>
      </c>
      <c r="D12" s="16">
        <v>0.1</v>
      </c>
      <c r="E12" s="39">
        <v>0</v>
      </c>
      <c r="F12" s="93">
        <f>SUMPRODUCT(G12:G16,H12:H16)</f>
        <v>3.3499999999999996</v>
      </c>
      <c r="G12" s="25">
        <v>1</v>
      </c>
      <c r="H12" s="16">
        <v>0.1</v>
      </c>
      <c r="I12" s="39">
        <v>0</v>
      </c>
      <c r="K12" s="170"/>
      <c r="M12" s="94"/>
      <c r="N12" s="81"/>
      <c r="O12" s="16"/>
      <c r="P12" s="28">
        <v>9</v>
      </c>
      <c r="Q12" s="82"/>
      <c r="R12" s="29"/>
      <c r="T12" s="30">
        <v>9</v>
      </c>
      <c r="U12" s="88"/>
      <c r="V12" s="89"/>
      <c r="W12" s="88"/>
      <c r="X12" s="88"/>
      <c r="Y12" s="88"/>
      <c r="Z12" s="90"/>
      <c r="AA12" s="88"/>
      <c r="AB12" s="91"/>
      <c r="AC12" s="91"/>
      <c r="AD12" s="91"/>
      <c r="AE12" s="87"/>
    </row>
    <row r="13" spans="1:31">
      <c r="A13" s="170"/>
      <c r="C13" s="25">
        <v>22</v>
      </c>
      <c r="D13" s="16">
        <v>0.25</v>
      </c>
      <c r="E13" s="39">
        <f>D12</f>
        <v>0.1</v>
      </c>
      <c r="G13" s="25">
        <v>2</v>
      </c>
      <c r="H13" s="16">
        <v>0.15</v>
      </c>
      <c r="I13" s="39">
        <f>H12+I12</f>
        <v>0.1</v>
      </c>
      <c r="K13" s="170"/>
      <c r="M13" s="94"/>
      <c r="N13" s="81"/>
      <c r="O13" s="16"/>
      <c r="P13" s="32">
        <v>10</v>
      </c>
      <c r="Q13" s="82"/>
      <c r="R13" s="29"/>
      <c r="T13" s="30">
        <v>10</v>
      </c>
      <c r="U13" s="88"/>
      <c r="V13" s="89"/>
      <c r="W13" s="88"/>
      <c r="X13" s="88"/>
      <c r="Y13" s="88"/>
      <c r="Z13" s="90"/>
      <c r="AA13" s="88"/>
      <c r="AB13" s="91"/>
      <c r="AC13" s="91"/>
      <c r="AD13" s="91"/>
      <c r="AE13" s="87"/>
    </row>
    <row r="14" spans="1:31">
      <c r="A14" s="170"/>
      <c r="B14" s="15" t="s">
        <v>81</v>
      </c>
      <c r="C14" s="25">
        <v>26</v>
      </c>
      <c r="D14" s="16">
        <v>0.15</v>
      </c>
      <c r="E14" s="39">
        <f>D13+E13</f>
        <v>0.35</v>
      </c>
      <c r="F14" s="15" t="s">
        <v>81</v>
      </c>
      <c r="G14" s="25">
        <v>3</v>
      </c>
      <c r="H14" s="16">
        <v>0.3</v>
      </c>
      <c r="I14" s="39">
        <f>H13+I13</f>
        <v>0.25</v>
      </c>
      <c r="K14" s="170"/>
      <c r="M14" s="94"/>
      <c r="N14" s="81"/>
      <c r="P14" s="28">
        <v>11</v>
      </c>
      <c r="Q14" s="82"/>
      <c r="R14" s="29"/>
      <c r="T14" s="30">
        <v>11</v>
      </c>
      <c r="U14" s="88"/>
      <c r="V14" s="89"/>
      <c r="W14" s="88"/>
      <c r="X14" s="88"/>
      <c r="Y14" s="88"/>
      <c r="Z14" s="90"/>
      <c r="AA14" s="88"/>
      <c r="AB14" s="91"/>
      <c r="AC14" s="91"/>
      <c r="AD14" s="91"/>
      <c r="AE14" s="87"/>
    </row>
    <row r="15" spans="1:31">
      <c r="A15" s="170"/>
      <c r="C15" s="25">
        <v>30</v>
      </c>
      <c r="D15" s="16">
        <v>0.3</v>
      </c>
      <c r="E15" s="39">
        <f>D14+E14</f>
        <v>0.5</v>
      </c>
      <c r="G15" s="25">
        <v>4</v>
      </c>
      <c r="H15" s="16">
        <v>0.2</v>
      </c>
      <c r="I15" s="39">
        <f>H14+I14</f>
        <v>0.55000000000000004</v>
      </c>
      <c r="K15" s="170"/>
      <c r="M15" s="94"/>
      <c r="N15" s="81"/>
      <c r="P15" s="32">
        <v>12</v>
      </c>
      <c r="Q15" s="82"/>
      <c r="R15" s="29"/>
      <c r="T15" s="30">
        <v>12</v>
      </c>
      <c r="U15" s="88"/>
      <c r="V15" s="89"/>
      <c r="W15" s="88"/>
      <c r="X15" s="88"/>
      <c r="Y15" s="88"/>
      <c r="Z15" s="90"/>
      <c r="AA15" s="88"/>
      <c r="AB15" s="91"/>
      <c r="AC15" s="91"/>
      <c r="AD15" s="91"/>
      <c r="AE15" s="87"/>
    </row>
    <row r="16" spans="1:31">
      <c r="A16" s="170"/>
      <c r="C16" s="34">
        <v>34</v>
      </c>
      <c r="D16" s="44">
        <v>0.2</v>
      </c>
      <c r="E16" s="45">
        <f>D15+E15</f>
        <v>0.8</v>
      </c>
      <c r="G16" s="34">
        <v>5</v>
      </c>
      <c r="H16" s="44">
        <v>0.25</v>
      </c>
      <c r="I16" s="45">
        <f>H15+I15</f>
        <v>0.75</v>
      </c>
      <c r="K16" s="170"/>
      <c r="M16" s="95"/>
      <c r="N16" s="61"/>
      <c r="P16" s="28">
        <v>13</v>
      </c>
      <c r="Q16" s="82"/>
      <c r="R16" s="29"/>
      <c r="T16" s="30">
        <v>13</v>
      </c>
      <c r="U16" s="88"/>
      <c r="V16" s="89"/>
      <c r="W16" s="88"/>
      <c r="X16" s="88"/>
      <c r="Y16" s="88"/>
      <c r="Z16" s="90"/>
      <c r="AA16" s="88"/>
      <c r="AB16" s="91"/>
      <c r="AC16" s="91"/>
      <c r="AD16" s="91"/>
      <c r="AE16" s="87"/>
    </row>
    <row r="17" spans="1:31">
      <c r="A17" s="170"/>
      <c r="K17" s="170"/>
      <c r="P17" s="32">
        <v>14</v>
      </c>
      <c r="Q17" s="82"/>
      <c r="R17" s="29"/>
      <c r="T17" s="30">
        <v>14</v>
      </c>
      <c r="U17" s="88"/>
      <c r="V17" s="89"/>
      <c r="W17" s="88"/>
      <c r="X17" s="88"/>
      <c r="Y17" s="88"/>
      <c r="Z17" s="90"/>
      <c r="AA17" s="88"/>
      <c r="AB17" s="91"/>
      <c r="AC17" s="91"/>
      <c r="AD17" s="91"/>
      <c r="AE17" s="87"/>
    </row>
    <row r="18" spans="1:31">
      <c r="A18" s="170"/>
      <c r="D18" s="157" t="s">
        <v>47</v>
      </c>
      <c r="E18" s="157"/>
      <c r="F18" s="157"/>
      <c r="G18" s="47"/>
      <c r="H18" s="48"/>
      <c r="K18" s="170"/>
      <c r="M18" s="16"/>
      <c r="N18" s="19"/>
      <c r="P18" s="28">
        <v>15</v>
      </c>
      <c r="Q18" s="82"/>
      <c r="R18" s="29"/>
      <c r="T18" s="30">
        <v>15</v>
      </c>
      <c r="U18" s="88"/>
      <c r="V18" s="89"/>
      <c r="W18" s="88"/>
      <c r="X18" s="88"/>
      <c r="Y18" s="88"/>
      <c r="Z18" s="90"/>
      <c r="AA18" s="88"/>
      <c r="AB18" s="91"/>
      <c r="AC18" s="91"/>
      <c r="AD18" s="91"/>
      <c r="AE18" s="87"/>
    </row>
    <row r="19" spans="1:31">
      <c r="A19" s="170"/>
      <c r="D19" s="158" t="s">
        <v>48</v>
      </c>
      <c r="E19" s="158"/>
      <c r="F19" s="158"/>
      <c r="G19" s="49"/>
      <c r="H19" s="50"/>
      <c r="K19" s="170"/>
      <c r="M19" s="16"/>
      <c r="N19" s="19"/>
      <c r="P19" s="32">
        <v>16</v>
      </c>
      <c r="Q19" s="82"/>
      <c r="R19" s="29"/>
      <c r="T19" s="30">
        <v>16</v>
      </c>
      <c r="U19" s="88"/>
      <c r="V19" s="89"/>
      <c r="W19" s="88"/>
      <c r="X19" s="88"/>
      <c r="Y19" s="88"/>
      <c r="Z19" s="90"/>
      <c r="AA19" s="88"/>
      <c r="AB19" s="91"/>
      <c r="AC19" s="91"/>
      <c r="AD19" s="91"/>
      <c r="AE19" s="87"/>
    </row>
    <row r="20" spans="1:31" ht="15.75" customHeight="1">
      <c r="A20" s="170"/>
      <c r="D20" s="161" t="s">
        <v>82</v>
      </c>
      <c r="E20" s="161"/>
      <c r="F20" s="161"/>
      <c r="G20" s="96"/>
      <c r="H20" s="50"/>
      <c r="K20" s="170"/>
      <c r="M20" s="174" t="s">
        <v>83</v>
      </c>
      <c r="N20" s="175"/>
      <c r="P20" s="28">
        <v>17</v>
      </c>
      <c r="Q20" s="82"/>
      <c r="R20" s="29"/>
      <c r="T20" s="30">
        <v>17</v>
      </c>
      <c r="U20" s="88"/>
      <c r="V20" s="89"/>
      <c r="W20" s="88"/>
      <c r="X20" s="88"/>
      <c r="Y20" s="88"/>
      <c r="Z20" s="90"/>
      <c r="AA20" s="88"/>
      <c r="AB20" s="91"/>
      <c r="AC20" s="91"/>
      <c r="AD20" s="91"/>
      <c r="AE20" s="87"/>
    </row>
    <row r="21" spans="1:31">
      <c r="A21" s="170"/>
      <c r="D21" s="161" t="s">
        <v>84</v>
      </c>
      <c r="E21" s="161"/>
      <c r="F21" s="161"/>
      <c r="G21" s="16"/>
      <c r="H21" s="50" t="s">
        <v>52</v>
      </c>
      <c r="K21" s="170"/>
      <c r="M21" s="174"/>
      <c r="N21" s="175"/>
      <c r="P21" s="32">
        <v>18</v>
      </c>
      <c r="Q21" s="82"/>
      <c r="R21" s="29"/>
      <c r="T21" s="30">
        <v>18</v>
      </c>
      <c r="U21" s="88"/>
      <c r="V21" s="89"/>
      <c r="W21" s="88"/>
      <c r="X21" s="88"/>
      <c r="Y21" s="88"/>
      <c r="Z21" s="90"/>
      <c r="AA21" s="88"/>
      <c r="AB21" s="91"/>
      <c r="AC21" s="91"/>
      <c r="AD21" s="91"/>
      <c r="AE21" s="87"/>
    </row>
    <row r="22" spans="1:31">
      <c r="A22" s="170"/>
      <c r="D22" s="158" t="s">
        <v>85</v>
      </c>
      <c r="E22" s="158"/>
      <c r="F22" s="158"/>
      <c r="G22" s="97"/>
      <c r="H22" s="50"/>
      <c r="K22" s="170"/>
      <c r="M22" s="16"/>
      <c r="N22" s="19"/>
      <c r="P22" s="28">
        <v>19</v>
      </c>
      <c r="Q22" s="82"/>
      <c r="R22" s="29"/>
      <c r="T22" s="30">
        <v>19</v>
      </c>
      <c r="U22" s="88"/>
      <c r="V22" s="89"/>
      <c r="W22" s="88"/>
      <c r="X22" s="88"/>
      <c r="Y22" s="88"/>
      <c r="Z22" s="90"/>
      <c r="AA22" s="88"/>
      <c r="AB22" s="91"/>
      <c r="AC22" s="91"/>
      <c r="AD22" s="91"/>
      <c r="AE22" s="87"/>
    </row>
    <row r="23" spans="1:31">
      <c r="A23" s="170"/>
      <c r="D23" s="163" t="s">
        <v>68</v>
      </c>
      <c r="E23" s="163"/>
      <c r="F23" s="163"/>
      <c r="G23" s="98"/>
      <c r="H23" s="55" t="s">
        <v>52</v>
      </c>
      <c r="K23" s="170"/>
      <c r="M23" s="16"/>
      <c r="N23" s="19"/>
      <c r="P23" s="32">
        <v>20</v>
      </c>
      <c r="Q23" s="82"/>
      <c r="R23" s="29"/>
      <c r="T23" s="30">
        <v>20</v>
      </c>
      <c r="U23" s="88"/>
      <c r="V23" s="89"/>
      <c r="W23" s="88"/>
      <c r="X23" s="88"/>
      <c r="Y23" s="88"/>
      <c r="Z23" s="90"/>
      <c r="AA23" s="88"/>
      <c r="AB23" s="91"/>
      <c r="AC23" s="91"/>
      <c r="AD23" s="91"/>
      <c r="AE23" s="87"/>
    </row>
    <row r="24" spans="1:31">
      <c r="A24" s="170"/>
      <c r="B24" s="170"/>
      <c r="C24" s="170"/>
      <c r="D24" s="170"/>
      <c r="E24" s="170"/>
      <c r="F24" s="170"/>
      <c r="G24" s="170"/>
      <c r="H24" s="170"/>
      <c r="I24" s="170"/>
      <c r="J24" s="170"/>
      <c r="K24" s="170"/>
      <c r="M24" s="16"/>
      <c r="P24" s="28">
        <v>21</v>
      </c>
      <c r="Q24" s="82"/>
      <c r="R24" s="29"/>
      <c r="T24" s="30">
        <v>21</v>
      </c>
      <c r="U24" s="88"/>
      <c r="V24" s="89"/>
      <c r="W24" s="88"/>
      <c r="X24" s="88"/>
      <c r="Y24" s="88"/>
      <c r="Z24" s="90"/>
      <c r="AA24" s="88"/>
      <c r="AB24" s="91"/>
      <c r="AC24" s="91"/>
      <c r="AD24" s="91"/>
      <c r="AE24" s="87"/>
    </row>
    <row r="25" spans="1:31">
      <c r="F25" s="93" t="s">
        <v>86</v>
      </c>
      <c r="M25" s="16"/>
      <c r="P25" s="32">
        <v>22</v>
      </c>
      <c r="Q25" s="82"/>
      <c r="R25" s="29"/>
      <c r="T25" s="30">
        <v>22</v>
      </c>
      <c r="U25" s="88"/>
      <c r="V25" s="89"/>
      <c r="W25" s="88"/>
      <c r="X25" s="88"/>
      <c r="Y25" s="88"/>
      <c r="Z25" s="90"/>
      <c r="AA25" s="88"/>
      <c r="AB25" s="91"/>
      <c r="AC25" s="91"/>
      <c r="AD25" s="91"/>
      <c r="AE25" s="87"/>
    </row>
    <row r="26" spans="1:31">
      <c r="M26" s="20"/>
      <c r="N26" s="20"/>
      <c r="P26" s="28">
        <v>23</v>
      </c>
      <c r="Q26" s="82"/>
      <c r="R26" s="29"/>
      <c r="T26" s="30">
        <v>23</v>
      </c>
      <c r="U26" s="88"/>
      <c r="V26" s="89"/>
      <c r="W26" s="88"/>
      <c r="X26" s="88"/>
      <c r="Y26" s="88"/>
      <c r="Z26" s="90"/>
      <c r="AA26" s="88"/>
      <c r="AB26" s="91"/>
      <c r="AC26" s="91"/>
      <c r="AD26" s="91"/>
      <c r="AE26" s="87"/>
    </row>
    <row r="27" spans="1:31" ht="15.75" customHeight="1">
      <c r="C27" s="8" t="s">
        <v>2</v>
      </c>
      <c r="D27" s="7" t="s">
        <v>35</v>
      </c>
      <c r="E27" s="6" t="s">
        <v>87</v>
      </c>
      <c r="G27" s="13" t="s">
        <v>36</v>
      </c>
      <c r="H27" s="7" t="s">
        <v>35</v>
      </c>
      <c r="I27" s="6" t="s">
        <v>87</v>
      </c>
      <c r="M27" s="20"/>
      <c r="N27" s="20"/>
      <c r="P27" s="32">
        <v>24</v>
      </c>
      <c r="Q27" s="82"/>
      <c r="R27" s="29"/>
      <c r="T27" s="30">
        <v>24</v>
      </c>
      <c r="U27" s="88"/>
      <c r="V27" s="89"/>
      <c r="W27" s="88"/>
      <c r="X27" s="88"/>
      <c r="Y27" s="88"/>
      <c r="Z27" s="90"/>
      <c r="AA27" s="88"/>
      <c r="AB27" s="91"/>
      <c r="AC27" s="91"/>
      <c r="AD27" s="91"/>
      <c r="AE27" s="87"/>
    </row>
    <row r="28" spans="1:31" ht="16.5" customHeight="1">
      <c r="B28" s="15" t="s">
        <v>80</v>
      </c>
      <c r="C28" s="8"/>
      <c r="D28" s="7"/>
      <c r="E28" s="6"/>
      <c r="F28" s="15" t="s">
        <v>80</v>
      </c>
      <c r="G28" s="13"/>
      <c r="H28" s="7"/>
      <c r="I28" s="6"/>
      <c r="L28" s="99"/>
      <c r="M28" s="16"/>
      <c r="O28" s="100"/>
      <c r="P28" s="28">
        <v>25</v>
      </c>
      <c r="Q28" s="82"/>
      <c r="R28" s="29"/>
      <c r="T28" s="30">
        <v>25</v>
      </c>
      <c r="U28" s="88"/>
      <c r="V28" s="89"/>
      <c r="W28" s="88"/>
      <c r="X28" s="88"/>
      <c r="Y28" s="88"/>
      <c r="Z28" s="90"/>
      <c r="AA28" s="88"/>
      <c r="AB28" s="91"/>
      <c r="AC28" s="91"/>
      <c r="AD28" s="91"/>
      <c r="AE28" s="87"/>
    </row>
    <row r="29" spans="1:31" ht="16.5" customHeight="1">
      <c r="B29" s="93">
        <f>SUMPRODUCT(C29:C33,D29:D33)</f>
        <v>27</v>
      </c>
      <c r="C29" s="25">
        <v>18</v>
      </c>
      <c r="D29" s="16">
        <v>0.1</v>
      </c>
      <c r="E29" s="39">
        <f>(C29-$B$29)^2</f>
        <v>81</v>
      </c>
      <c r="F29" s="93">
        <f>SUMPRODUCT(G29:G33,H29:H33)</f>
        <v>3.3499999999999996</v>
      </c>
      <c r="G29" s="25">
        <v>1</v>
      </c>
      <c r="H29" s="16">
        <v>0.1</v>
      </c>
      <c r="I29" s="39">
        <f>(G29-$F$29)^2</f>
        <v>5.5224999999999982</v>
      </c>
      <c r="L29" s="99"/>
      <c r="M29" s="16"/>
      <c r="O29" s="100"/>
      <c r="P29" s="32">
        <v>26</v>
      </c>
      <c r="Q29" s="82"/>
      <c r="R29" s="29"/>
      <c r="T29" s="30">
        <v>26</v>
      </c>
      <c r="U29" s="88"/>
      <c r="V29" s="89"/>
      <c r="W29" s="88"/>
      <c r="X29" s="88"/>
      <c r="Y29" s="88"/>
      <c r="Z29" s="90"/>
      <c r="AA29" s="88"/>
      <c r="AB29" s="91"/>
      <c r="AC29" s="91"/>
      <c r="AD29" s="91"/>
      <c r="AE29" s="87"/>
    </row>
    <row r="30" spans="1:31">
      <c r="C30" s="25">
        <v>22</v>
      </c>
      <c r="D30" s="16">
        <v>0.25</v>
      </c>
      <c r="E30" s="39">
        <f>(C30-$B$29)^2</f>
        <v>25</v>
      </c>
      <c r="G30" s="25">
        <v>2</v>
      </c>
      <c r="H30" s="16">
        <v>0.15</v>
      </c>
      <c r="I30" s="39">
        <f>(G30-$F$29)^2</f>
        <v>1.8224999999999991</v>
      </c>
      <c r="L30" s="99"/>
      <c r="M30" s="16"/>
      <c r="O30" s="100"/>
      <c r="P30" s="28">
        <v>27</v>
      </c>
      <c r="Q30" s="82"/>
      <c r="R30" s="29"/>
      <c r="T30" s="30">
        <v>27</v>
      </c>
      <c r="U30" s="88"/>
      <c r="V30" s="89"/>
      <c r="W30" s="88"/>
      <c r="X30" s="88"/>
      <c r="Y30" s="88"/>
      <c r="Z30" s="90"/>
      <c r="AA30" s="88"/>
      <c r="AB30" s="91"/>
      <c r="AC30" s="91"/>
      <c r="AD30" s="91"/>
      <c r="AE30" s="87"/>
    </row>
    <row r="31" spans="1:31" ht="16.5" customHeight="1">
      <c r="B31" s="15" t="s">
        <v>81</v>
      </c>
      <c r="C31" s="25">
        <v>26</v>
      </c>
      <c r="D31" s="16">
        <v>0.15</v>
      </c>
      <c r="E31" s="39">
        <f>(C31-$B$29)^2</f>
        <v>1</v>
      </c>
      <c r="F31" s="15" t="s">
        <v>81</v>
      </c>
      <c r="G31" s="25">
        <v>3</v>
      </c>
      <c r="H31" s="16">
        <v>0.3</v>
      </c>
      <c r="I31" s="39">
        <f>(G31-$F$29)^2</f>
        <v>0.12249999999999975</v>
      </c>
      <c r="L31" s="99"/>
      <c r="M31" s="16"/>
      <c r="O31" s="100"/>
      <c r="P31" s="32">
        <v>28</v>
      </c>
      <c r="Q31" s="82"/>
      <c r="R31" s="29"/>
      <c r="T31" s="30">
        <v>28</v>
      </c>
      <c r="U31" s="88"/>
      <c r="V31" s="89"/>
      <c r="W31" s="88"/>
      <c r="X31" s="88"/>
      <c r="Y31" s="88"/>
      <c r="Z31" s="90"/>
      <c r="AA31" s="88"/>
      <c r="AB31" s="91"/>
      <c r="AC31" s="91"/>
      <c r="AD31" s="91"/>
      <c r="AE31" s="87"/>
    </row>
    <row r="32" spans="1:31">
      <c r="B32" s="15">
        <f>SUMPRODUCT(D29:D33,E29:E33)/4</f>
        <v>6.75</v>
      </c>
      <c r="C32" s="25">
        <v>30</v>
      </c>
      <c r="D32" s="16">
        <v>0.3</v>
      </c>
      <c r="E32" s="39">
        <f>(C32-$B$29)^2</f>
        <v>9</v>
      </c>
      <c r="F32" s="15">
        <f>SUMPRODUCT(H29:H33,I29:I33)/4</f>
        <v>0.40687499999999999</v>
      </c>
      <c r="G32" s="25">
        <v>4</v>
      </c>
      <c r="H32" s="16">
        <v>0.2</v>
      </c>
      <c r="I32" s="39">
        <f>(G32-$F$29)^2</f>
        <v>0.42250000000000049</v>
      </c>
      <c r="L32" s="99"/>
      <c r="M32" s="16"/>
      <c r="O32" s="100"/>
      <c r="P32" s="28">
        <v>29</v>
      </c>
      <c r="Q32" s="82"/>
      <c r="R32" s="29"/>
      <c r="T32" s="30">
        <v>29</v>
      </c>
      <c r="U32" s="88"/>
      <c r="V32" s="89"/>
      <c r="W32" s="88"/>
      <c r="X32" s="88"/>
      <c r="Y32" s="88"/>
      <c r="Z32" s="90"/>
      <c r="AA32" s="88"/>
      <c r="AB32" s="91"/>
      <c r="AC32" s="91"/>
      <c r="AD32" s="91"/>
      <c r="AE32" s="87"/>
    </row>
    <row r="33" spans="2:31">
      <c r="C33" s="34">
        <v>34</v>
      </c>
      <c r="D33" s="44">
        <v>0.2</v>
      </c>
      <c r="E33" s="39">
        <f>(C33-$B$29)^2</f>
        <v>49</v>
      </c>
      <c r="G33" s="34">
        <v>5</v>
      </c>
      <c r="H33" s="44">
        <v>0.25</v>
      </c>
      <c r="I33" s="39">
        <f>(G33-$F$29)^2</f>
        <v>2.722500000000001</v>
      </c>
      <c r="L33" s="99"/>
      <c r="M33" s="16"/>
      <c r="O33" s="100"/>
      <c r="P33" s="32">
        <v>30</v>
      </c>
      <c r="Q33" s="82"/>
      <c r="R33" s="29"/>
      <c r="T33" s="30">
        <v>30</v>
      </c>
      <c r="U33" s="88"/>
      <c r="V33" s="89"/>
      <c r="W33" s="88"/>
      <c r="X33" s="88"/>
      <c r="Y33" s="88"/>
      <c r="Z33" s="90"/>
      <c r="AA33" s="88"/>
      <c r="AB33" s="91"/>
      <c r="AC33" s="91"/>
      <c r="AD33" s="91"/>
      <c r="AE33" s="87"/>
    </row>
    <row r="34" spans="2:31">
      <c r="L34" s="99"/>
      <c r="M34" s="16"/>
      <c r="O34" s="100"/>
      <c r="P34" s="28">
        <v>31</v>
      </c>
      <c r="Q34" s="82"/>
      <c r="R34" s="29"/>
      <c r="T34" s="30">
        <v>31</v>
      </c>
      <c r="U34" s="88"/>
      <c r="V34" s="89"/>
      <c r="W34" s="88"/>
      <c r="X34" s="88"/>
      <c r="Y34" s="88"/>
      <c r="Z34" s="90"/>
      <c r="AA34" s="88"/>
      <c r="AB34" s="91"/>
      <c r="AC34" s="91"/>
      <c r="AD34" s="91"/>
      <c r="AE34" s="87"/>
    </row>
    <row r="35" spans="2:31">
      <c r="L35" s="99"/>
      <c r="M35" s="16"/>
      <c r="O35" s="100"/>
      <c r="P35" s="32">
        <v>32</v>
      </c>
      <c r="Q35" s="82"/>
      <c r="R35" s="29"/>
      <c r="T35" s="30">
        <v>32</v>
      </c>
      <c r="U35" s="88"/>
      <c r="V35" s="89"/>
      <c r="W35" s="88"/>
      <c r="X35" s="88"/>
      <c r="Y35" s="88"/>
      <c r="Z35" s="90"/>
      <c r="AA35" s="88"/>
      <c r="AB35" s="91"/>
      <c r="AC35" s="91"/>
      <c r="AD35" s="91"/>
      <c r="AE35" s="87"/>
    </row>
    <row r="36" spans="2:31">
      <c r="L36" s="99"/>
      <c r="M36" s="16"/>
      <c r="O36" s="100"/>
      <c r="P36" s="28">
        <v>33</v>
      </c>
      <c r="Q36" s="82"/>
      <c r="R36" s="29"/>
      <c r="T36" s="30">
        <v>33</v>
      </c>
      <c r="U36" s="88"/>
      <c r="V36" s="89"/>
      <c r="W36" s="88"/>
      <c r="X36" s="88"/>
      <c r="Y36" s="88"/>
      <c r="Z36" s="90"/>
      <c r="AA36" s="88"/>
      <c r="AB36" s="91"/>
      <c r="AC36" s="91"/>
      <c r="AD36" s="91"/>
      <c r="AE36" s="87"/>
    </row>
    <row r="37" spans="2:31">
      <c r="L37" s="99"/>
      <c r="M37" s="16"/>
      <c r="O37" s="100"/>
      <c r="P37" s="32">
        <v>34</v>
      </c>
      <c r="Q37" s="82"/>
      <c r="R37" s="29"/>
      <c r="T37" s="30">
        <v>34</v>
      </c>
      <c r="U37" s="88"/>
      <c r="V37" s="89"/>
      <c r="W37" s="88"/>
      <c r="X37" s="88"/>
      <c r="Y37" s="88"/>
      <c r="Z37" s="90"/>
      <c r="AA37" s="88"/>
      <c r="AB37" s="91"/>
      <c r="AC37" s="91"/>
      <c r="AD37" s="91"/>
      <c r="AE37" s="87"/>
    </row>
    <row r="38" spans="2:31">
      <c r="L38" s="99"/>
      <c r="M38" s="16"/>
      <c r="O38" s="100"/>
      <c r="P38" s="28">
        <v>35</v>
      </c>
      <c r="Q38" s="82"/>
      <c r="R38" s="29"/>
      <c r="T38" s="30">
        <v>35</v>
      </c>
      <c r="U38" s="88"/>
      <c r="V38" s="89"/>
      <c r="W38" s="88"/>
      <c r="X38" s="88"/>
      <c r="Y38" s="88"/>
      <c r="Z38" s="90"/>
      <c r="AA38" s="88"/>
      <c r="AB38" s="91"/>
      <c r="AC38" s="91"/>
      <c r="AD38" s="91"/>
      <c r="AE38" s="87"/>
    </row>
    <row r="39" spans="2:31">
      <c r="L39" s="99"/>
      <c r="M39" s="16"/>
      <c r="P39" s="32">
        <v>36</v>
      </c>
      <c r="Q39" s="82"/>
      <c r="R39" s="29"/>
      <c r="T39" s="30">
        <v>36</v>
      </c>
      <c r="U39" s="88"/>
      <c r="V39" s="89"/>
      <c r="W39" s="88"/>
      <c r="X39" s="88"/>
      <c r="Y39" s="88"/>
      <c r="Z39" s="90"/>
      <c r="AA39" s="88"/>
      <c r="AB39" s="91"/>
      <c r="AC39" s="91"/>
      <c r="AD39" s="91"/>
      <c r="AE39" s="87"/>
    </row>
    <row r="40" spans="2:31">
      <c r="B40" s="19"/>
      <c r="C40" s="19"/>
      <c r="D40" s="19"/>
      <c r="E40" s="19"/>
      <c r="F40" s="19"/>
      <c r="G40" s="19"/>
      <c r="H40" s="19"/>
      <c r="I40" s="19"/>
      <c r="J40" s="19"/>
      <c r="N40" s="15"/>
      <c r="P40" s="28">
        <v>37</v>
      </c>
      <c r="Q40" s="82"/>
      <c r="R40" s="29"/>
      <c r="T40" s="30">
        <v>37</v>
      </c>
      <c r="U40" s="88"/>
      <c r="V40" s="89"/>
      <c r="W40" s="88"/>
      <c r="X40" s="88"/>
      <c r="Y40" s="88"/>
      <c r="Z40" s="90"/>
      <c r="AA40" s="88"/>
      <c r="AB40" s="91"/>
      <c r="AC40" s="91"/>
      <c r="AD40" s="91"/>
      <c r="AE40" s="87"/>
    </row>
    <row r="41" spans="2:31">
      <c r="B41" s="16"/>
      <c r="C41" s="62"/>
      <c r="D41" s="62"/>
      <c r="E41" s="62"/>
      <c r="F41" s="62"/>
      <c r="G41" s="62"/>
      <c r="H41" s="62"/>
      <c r="I41" s="62"/>
      <c r="J41" s="62"/>
      <c r="N41" s="15"/>
      <c r="P41" s="32">
        <v>38</v>
      </c>
      <c r="Q41" s="82"/>
      <c r="R41" s="29"/>
      <c r="T41" s="30">
        <v>38</v>
      </c>
      <c r="U41" s="88"/>
      <c r="V41" s="89"/>
      <c r="W41" s="88"/>
      <c r="X41" s="88"/>
      <c r="Y41" s="88"/>
      <c r="Z41" s="90"/>
      <c r="AA41" s="88"/>
      <c r="AB41" s="91"/>
      <c r="AC41" s="91"/>
      <c r="AD41" s="91"/>
      <c r="AE41" s="87"/>
    </row>
    <row r="42" spans="2:31">
      <c r="B42" s="16"/>
      <c r="C42" s="62"/>
      <c r="D42" s="62"/>
      <c r="E42" s="62"/>
      <c r="F42" s="62"/>
      <c r="G42" s="62"/>
      <c r="H42" s="62"/>
      <c r="I42" s="62"/>
      <c r="J42" s="62"/>
      <c r="M42" s="19"/>
      <c r="N42" s="19"/>
      <c r="P42" s="28">
        <v>39</v>
      </c>
      <c r="Q42" s="82"/>
      <c r="R42" s="29"/>
      <c r="T42" s="30">
        <v>39</v>
      </c>
      <c r="U42" s="88"/>
      <c r="V42" s="89"/>
      <c r="W42" s="88"/>
      <c r="X42" s="88"/>
      <c r="Y42" s="88"/>
      <c r="Z42" s="90"/>
      <c r="AA42" s="88"/>
      <c r="AB42" s="91"/>
      <c r="AC42" s="91"/>
      <c r="AD42" s="91"/>
      <c r="AE42" s="87"/>
    </row>
    <row r="43" spans="2:31" ht="15" customHeight="1">
      <c r="B43" s="19"/>
      <c r="C43" s="63"/>
      <c r="D43" s="63"/>
      <c r="E43" s="63"/>
      <c r="F43" s="63"/>
      <c r="G43" s="63"/>
      <c r="H43" s="63"/>
      <c r="I43" s="63"/>
      <c r="J43" s="63"/>
      <c r="N43" s="15"/>
      <c r="P43" s="32">
        <v>40</v>
      </c>
      <c r="Q43" s="82"/>
      <c r="R43" s="29"/>
      <c r="T43" s="30">
        <v>40</v>
      </c>
      <c r="U43" s="88"/>
      <c r="V43" s="89"/>
      <c r="W43" s="88"/>
      <c r="X43" s="88"/>
      <c r="Y43" s="88"/>
      <c r="Z43" s="90"/>
      <c r="AA43" s="88"/>
      <c r="AB43" s="91"/>
      <c r="AC43" s="91"/>
      <c r="AD43" s="91"/>
      <c r="AE43" s="87"/>
    </row>
    <row r="44" spans="2:31" ht="15" customHeight="1">
      <c r="B44" s="19"/>
      <c r="C44" s="63"/>
      <c r="D44" s="63"/>
      <c r="E44" s="63"/>
      <c r="F44" s="63"/>
      <c r="G44" s="63"/>
      <c r="H44" s="63"/>
      <c r="I44" s="63"/>
      <c r="J44" s="63"/>
      <c r="M44" s="19"/>
      <c r="N44" s="19"/>
      <c r="P44" s="28">
        <v>41</v>
      </c>
      <c r="Q44" s="82"/>
      <c r="R44" s="29"/>
      <c r="T44" s="30">
        <v>41</v>
      </c>
      <c r="U44" s="88"/>
      <c r="V44" s="89"/>
      <c r="W44" s="88"/>
      <c r="X44" s="88"/>
      <c r="Y44" s="88"/>
      <c r="Z44" s="90"/>
      <c r="AA44" s="88"/>
      <c r="AB44" s="91"/>
      <c r="AC44" s="91"/>
      <c r="AD44" s="91"/>
      <c r="AE44" s="87"/>
    </row>
    <row r="45" spans="2:31">
      <c r="P45" s="32">
        <v>42</v>
      </c>
      <c r="Q45" s="82"/>
      <c r="R45" s="29"/>
      <c r="T45" s="30">
        <v>42</v>
      </c>
      <c r="U45" s="88"/>
      <c r="V45" s="89"/>
      <c r="W45" s="88"/>
      <c r="X45" s="88"/>
      <c r="Y45" s="88"/>
      <c r="Z45" s="90"/>
      <c r="AA45" s="88"/>
      <c r="AB45" s="91"/>
      <c r="AC45" s="91"/>
      <c r="AD45" s="91"/>
      <c r="AE45" s="87"/>
    </row>
    <row r="46" spans="2:31">
      <c r="P46" s="28">
        <v>43</v>
      </c>
      <c r="Q46" s="82"/>
      <c r="R46" s="29"/>
      <c r="T46" s="30">
        <v>43</v>
      </c>
      <c r="U46" s="88"/>
      <c r="V46" s="89"/>
      <c r="W46" s="88"/>
      <c r="X46" s="88"/>
      <c r="Y46" s="88"/>
      <c r="Z46" s="90"/>
      <c r="AA46" s="88"/>
      <c r="AB46" s="91"/>
      <c r="AC46" s="91"/>
      <c r="AD46" s="91"/>
      <c r="AE46" s="87"/>
    </row>
    <row r="47" spans="2:31">
      <c r="P47" s="32">
        <v>44</v>
      </c>
      <c r="Q47" s="82"/>
      <c r="R47" s="29"/>
      <c r="T47" s="30">
        <v>44</v>
      </c>
      <c r="U47" s="88"/>
      <c r="V47" s="89"/>
      <c r="W47" s="88"/>
      <c r="X47" s="88"/>
      <c r="Y47" s="88"/>
      <c r="Z47" s="90"/>
      <c r="AA47" s="88"/>
      <c r="AB47" s="91"/>
      <c r="AC47" s="91"/>
      <c r="AD47" s="91"/>
      <c r="AE47" s="87"/>
    </row>
    <row r="48" spans="2:31">
      <c r="P48" s="28">
        <v>45</v>
      </c>
      <c r="Q48" s="82"/>
      <c r="R48" s="29"/>
      <c r="T48" s="30">
        <v>45</v>
      </c>
      <c r="U48" s="88"/>
      <c r="V48" s="89"/>
      <c r="W48" s="88"/>
      <c r="X48" s="88"/>
      <c r="Y48" s="88"/>
      <c r="Z48" s="90"/>
      <c r="AA48" s="88"/>
      <c r="AB48" s="91"/>
      <c r="AC48" s="91"/>
      <c r="AD48" s="91"/>
      <c r="AE48" s="87"/>
    </row>
    <row r="49" spans="16:31">
      <c r="P49" s="32">
        <v>46</v>
      </c>
      <c r="Q49" s="82"/>
      <c r="R49" s="29"/>
      <c r="T49" s="30">
        <v>46</v>
      </c>
      <c r="U49" s="88"/>
      <c r="V49" s="89"/>
      <c r="W49" s="88"/>
      <c r="X49" s="88"/>
      <c r="Y49" s="88"/>
      <c r="Z49" s="90"/>
      <c r="AA49" s="88"/>
      <c r="AB49" s="91"/>
      <c r="AC49" s="91"/>
      <c r="AD49" s="91"/>
      <c r="AE49" s="87"/>
    </row>
    <row r="50" spans="16:31">
      <c r="P50" s="28">
        <v>47</v>
      </c>
      <c r="Q50" s="82"/>
      <c r="R50" s="29"/>
      <c r="T50" s="30">
        <v>47</v>
      </c>
      <c r="U50" s="88"/>
      <c r="V50" s="89"/>
      <c r="W50" s="88"/>
      <c r="X50" s="88"/>
      <c r="Y50" s="88"/>
      <c r="Z50" s="90"/>
      <c r="AA50" s="88"/>
      <c r="AB50" s="91"/>
      <c r="AC50" s="91"/>
      <c r="AD50" s="91"/>
      <c r="AE50" s="87"/>
    </row>
    <row r="51" spans="16:31">
      <c r="P51" s="32">
        <v>48</v>
      </c>
      <c r="Q51" s="82"/>
      <c r="R51" s="29"/>
      <c r="T51" s="30">
        <v>48</v>
      </c>
      <c r="U51" s="88"/>
      <c r="V51" s="89"/>
      <c r="W51" s="88"/>
      <c r="X51" s="88"/>
      <c r="Y51" s="88"/>
      <c r="Z51" s="90"/>
      <c r="AA51" s="88"/>
      <c r="AB51" s="91"/>
      <c r="AC51" s="91"/>
      <c r="AD51" s="91"/>
      <c r="AE51" s="87"/>
    </row>
    <row r="52" spans="16:31">
      <c r="P52" s="28">
        <v>49</v>
      </c>
      <c r="Q52" s="82"/>
      <c r="R52" s="29"/>
      <c r="T52" s="30">
        <v>49</v>
      </c>
      <c r="U52" s="88"/>
      <c r="V52" s="89"/>
      <c r="W52" s="88"/>
      <c r="X52" s="88"/>
      <c r="Y52" s="88"/>
      <c r="Z52" s="90"/>
      <c r="AA52" s="88"/>
      <c r="AB52" s="91"/>
      <c r="AC52" s="91"/>
      <c r="AD52" s="91"/>
      <c r="AE52" s="87"/>
    </row>
    <row r="53" spans="16:31">
      <c r="P53" s="32">
        <v>50</v>
      </c>
      <c r="Q53" s="82"/>
      <c r="R53" s="29"/>
      <c r="T53" s="30">
        <v>50</v>
      </c>
      <c r="U53" s="88"/>
      <c r="V53" s="89"/>
      <c r="W53" s="88"/>
      <c r="X53" s="88"/>
      <c r="Y53" s="88"/>
      <c r="Z53" s="90"/>
      <c r="AA53" s="88"/>
      <c r="AB53" s="91"/>
      <c r="AC53" s="91"/>
      <c r="AD53" s="91"/>
      <c r="AE53" s="87"/>
    </row>
    <row r="54" spans="16:31">
      <c r="P54" s="28">
        <v>51</v>
      </c>
      <c r="Q54" s="82"/>
      <c r="R54" s="29"/>
      <c r="T54" s="30">
        <v>51</v>
      </c>
      <c r="U54" s="88"/>
      <c r="V54" s="89"/>
      <c r="W54" s="88"/>
      <c r="X54" s="88"/>
      <c r="Y54" s="88"/>
      <c r="Z54" s="90"/>
      <c r="AA54" s="88"/>
      <c r="AB54" s="91"/>
      <c r="AC54" s="91"/>
      <c r="AD54" s="91"/>
      <c r="AE54" s="87"/>
    </row>
    <row r="55" spans="16:31">
      <c r="P55" s="32">
        <v>52</v>
      </c>
      <c r="Q55" s="82"/>
      <c r="R55" s="29"/>
      <c r="T55" s="30">
        <v>52</v>
      </c>
      <c r="U55" s="88"/>
      <c r="V55" s="89"/>
      <c r="W55" s="88"/>
      <c r="X55" s="88"/>
      <c r="Y55" s="88"/>
      <c r="Z55" s="90"/>
      <c r="AA55" s="88"/>
      <c r="AB55" s="91"/>
      <c r="AC55" s="91"/>
      <c r="AD55" s="91"/>
      <c r="AE55" s="87"/>
    </row>
    <row r="56" spans="16:31">
      <c r="P56" s="28">
        <v>53</v>
      </c>
      <c r="Q56" s="82"/>
      <c r="R56" s="29"/>
      <c r="T56" s="30">
        <v>53</v>
      </c>
      <c r="U56" s="88"/>
      <c r="V56" s="89"/>
      <c r="W56" s="88"/>
      <c r="X56" s="88"/>
      <c r="Y56" s="88"/>
      <c r="Z56" s="90"/>
      <c r="AA56" s="88"/>
      <c r="AB56" s="91"/>
      <c r="AC56" s="91"/>
      <c r="AD56" s="91"/>
      <c r="AE56" s="87"/>
    </row>
    <row r="57" spans="16:31">
      <c r="P57" s="32">
        <v>54</v>
      </c>
      <c r="Q57" s="82"/>
      <c r="R57" s="29"/>
      <c r="T57" s="30">
        <v>54</v>
      </c>
      <c r="U57" s="88"/>
      <c r="V57" s="89"/>
      <c r="W57" s="88"/>
      <c r="X57" s="88"/>
      <c r="Y57" s="88"/>
      <c r="Z57" s="90"/>
      <c r="AA57" s="88"/>
      <c r="AB57" s="91"/>
      <c r="AC57" s="91"/>
      <c r="AD57" s="91"/>
      <c r="AE57" s="87"/>
    </row>
    <row r="58" spans="16:31">
      <c r="P58" s="28">
        <v>55</v>
      </c>
      <c r="Q58" s="82"/>
      <c r="R58" s="29"/>
      <c r="T58" s="30">
        <v>55</v>
      </c>
      <c r="U58" s="88"/>
      <c r="V58" s="89"/>
      <c r="W58" s="88"/>
      <c r="X58" s="88"/>
      <c r="Y58" s="88"/>
      <c r="Z58" s="90"/>
      <c r="AA58" s="88"/>
      <c r="AB58" s="91"/>
      <c r="AC58" s="91"/>
      <c r="AD58" s="91"/>
      <c r="AE58" s="87"/>
    </row>
    <row r="59" spans="16:31">
      <c r="P59" s="32">
        <v>56</v>
      </c>
      <c r="Q59" s="82"/>
      <c r="R59" s="29"/>
      <c r="T59" s="30">
        <v>56</v>
      </c>
      <c r="U59" s="88"/>
      <c r="V59" s="89"/>
      <c r="W59" s="88"/>
      <c r="X59" s="88"/>
      <c r="Y59" s="88"/>
      <c r="Z59" s="90"/>
      <c r="AA59" s="88"/>
      <c r="AB59" s="91"/>
      <c r="AC59" s="91"/>
      <c r="AD59" s="91"/>
      <c r="AE59" s="87"/>
    </row>
    <row r="60" spans="16:31">
      <c r="P60" s="28">
        <v>57</v>
      </c>
      <c r="Q60" s="82"/>
      <c r="R60" s="29"/>
      <c r="T60" s="30">
        <v>57</v>
      </c>
      <c r="U60" s="88"/>
      <c r="V60" s="89"/>
      <c r="W60" s="88"/>
      <c r="X60" s="88"/>
      <c r="Y60" s="88"/>
      <c r="Z60" s="90"/>
      <c r="AA60" s="88"/>
      <c r="AB60" s="91"/>
      <c r="AC60" s="91"/>
      <c r="AD60" s="91"/>
      <c r="AE60" s="87"/>
    </row>
    <row r="61" spans="16:31">
      <c r="P61" s="32">
        <v>58</v>
      </c>
      <c r="Q61" s="82"/>
      <c r="R61" s="29"/>
      <c r="T61" s="30">
        <v>58</v>
      </c>
      <c r="U61" s="88"/>
      <c r="V61" s="89"/>
      <c r="W61" s="88"/>
      <c r="X61" s="88"/>
      <c r="Y61" s="88"/>
      <c r="Z61" s="90"/>
      <c r="AA61" s="88"/>
      <c r="AB61" s="91"/>
      <c r="AC61" s="91"/>
      <c r="AD61" s="91"/>
      <c r="AE61" s="87"/>
    </row>
    <row r="62" spans="16:31">
      <c r="P62" s="28">
        <v>59</v>
      </c>
      <c r="Q62" s="82"/>
      <c r="R62" s="29"/>
      <c r="T62" s="30">
        <v>59</v>
      </c>
      <c r="U62" s="88"/>
      <c r="V62" s="89"/>
      <c r="W62" s="88"/>
      <c r="X62" s="88"/>
      <c r="Y62" s="88"/>
      <c r="Z62" s="90"/>
      <c r="AA62" s="88"/>
      <c r="AB62" s="91"/>
      <c r="AC62" s="91"/>
      <c r="AD62" s="91"/>
      <c r="AE62" s="87"/>
    </row>
    <row r="63" spans="16:31">
      <c r="P63" s="32">
        <v>60</v>
      </c>
      <c r="Q63" s="82"/>
      <c r="R63" s="29"/>
      <c r="T63" s="30">
        <v>60</v>
      </c>
      <c r="U63" s="88"/>
      <c r="V63" s="89"/>
      <c r="W63" s="88"/>
      <c r="X63" s="88"/>
      <c r="Y63" s="88"/>
      <c r="Z63" s="90"/>
      <c r="AA63" s="88"/>
      <c r="AB63" s="91"/>
      <c r="AC63" s="91"/>
      <c r="AD63" s="91"/>
      <c r="AE63" s="87"/>
    </row>
    <row r="64" spans="16:31">
      <c r="P64" s="28">
        <v>61</v>
      </c>
      <c r="Q64" s="82"/>
      <c r="R64" s="29"/>
      <c r="T64" s="30">
        <v>61</v>
      </c>
      <c r="U64" s="88"/>
      <c r="V64" s="89"/>
      <c r="W64" s="88"/>
      <c r="X64" s="88"/>
      <c r="Y64" s="88"/>
      <c r="Z64" s="90"/>
      <c r="AA64" s="88"/>
      <c r="AB64" s="91"/>
      <c r="AC64" s="91"/>
      <c r="AD64" s="91"/>
      <c r="AE64" s="87"/>
    </row>
    <row r="65" spans="16:31">
      <c r="P65" s="32">
        <v>62</v>
      </c>
      <c r="Q65" s="82"/>
      <c r="R65" s="29"/>
      <c r="T65" s="30">
        <v>62</v>
      </c>
      <c r="U65" s="88"/>
      <c r="V65" s="89"/>
      <c r="W65" s="88"/>
      <c r="X65" s="88"/>
      <c r="Y65" s="88"/>
      <c r="Z65" s="90"/>
      <c r="AA65" s="88"/>
      <c r="AB65" s="91"/>
      <c r="AC65" s="91"/>
      <c r="AD65" s="91"/>
      <c r="AE65" s="87"/>
    </row>
    <row r="66" spans="16:31">
      <c r="P66" s="28">
        <v>63</v>
      </c>
      <c r="Q66" s="82"/>
      <c r="R66" s="29"/>
      <c r="T66" s="30">
        <v>63</v>
      </c>
      <c r="U66" s="88"/>
      <c r="V66" s="89"/>
      <c r="W66" s="88"/>
      <c r="X66" s="88"/>
      <c r="Y66" s="88"/>
      <c r="Z66" s="90"/>
      <c r="AA66" s="88"/>
      <c r="AB66" s="91"/>
      <c r="AC66" s="91"/>
      <c r="AD66" s="91"/>
      <c r="AE66" s="87"/>
    </row>
    <row r="67" spans="16:31">
      <c r="P67" s="32">
        <v>64</v>
      </c>
      <c r="Q67" s="82"/>
      <c r="R67" s="29"/>
      <c r="T67" s="30">
        <v>64</v>
      </c>
      <c r="U67" s="88"/>
      <c r="V67" s="89"/>
      <c r="W67" s="88"/>
      <c r="X67" s="88"/>
      <c r="Y67" s="88"/>
      <c r="Z67" s="90"/>
      <c r="AA67" s="88"/>
      <c r="AB67" s="91"/>
      <c r="AC67" s="91"/>
      <c r="AD67" s="91"/>
      <c r="AE67" s="87"/>
    </row>
    <row r="68" spans="16:31">
      <c r="P68" s="28">
        <v>65</v>
      </c>
      <c r="Q68" s="82"/>
      <c r="R68" s="29"/>
      <c r="T68" s="30">
        <v>65</v>
      </c>
      <c r="U68" s="88"/>
      <c r="V68" s="89"/>
      <c r="W68" s="88"/>
      <c r="X68" s="88"/>
      <c r="Y68" s="88"/>
      <c r="Z68" s="90"/>
      <c r="AA68" s="88"/>
      <c r="AB68" s="91"/>
      <c r="AC68" s="91"/>
      <c r="AD68" s="91"/>
      <c r="AE68" s="87"/>
    </row>
    <row r="69" spans="16:31">
      <c r="P69" s="32">
        <v>66</v>
      </c>
      <c r="Q69" s="82"/>
      <c r="R69" s="29"/>
      <c r="T69" s="30">
        <v>66</v>
      </c>
      <c r="U69" s="88"/>
      <c r="V69" s="89"/>
      <c r="W69" s="88"/>
      <c r="X69" s="88"/>
      <c r="Y69" s="88"/>
      <c r="Z69" s="90"/>
      <c r="AA69" s="88"/>
      <c r="AB69" s="91"/>
      <c r="AC69" s="91"/>
      <c r="AD69" s="91"/>
      <c r="AE69" s="87"/>
    </row>
    <row r="70" spans="16:31">
      <c r="P70" s="28">
        <v>67</v>
      </c>
      <c r="Q70" s="82"/>
      <c r="R70" s="29"/>
      <c r="T70" s="30">
        <v>67</v>
      </c>
      <c r="U70" s="88"/>
      <c r="V70" s="89"/>
      <c r="W70" s="88"/>
      <c r="X70" s="88"/>
      <c r="Y70" s="88"/>
      <c r="Z70" s="90"/>
      <c r="AA70" s="88"/>
      <c r="AB70" s="91"/>
      <c r="AC70" s="91"/>
      <c r="AD70" s="91"/>
      <c r="AE70" s="87"/>
    </row>
    <row r="71" spans="16:31">
      <c r="P71" s="32">
        <v>68</v>
      </c>
      <c r="Q71" s="82"/>
      <c r="R71" s="29"/>
      <c r="T71" s="30">
        <v>68</v>
      </c>
      <c r="U71" s="88"/>
      <c r="V71" s="89"/>
      <c r="W71" s="88"/>
      <c r="X71" s="88"/>
      <c r="Y71" s="88"/>
      <c r="Z71" s="90"/>
      <c r="AA71" s="88"/>
      <c r="AB71" s="91"/>
      <c r="AC71" s="91"/>
      <c r="AD71" s="91"/>
      <c r="AE71" s="87"/>
    </row>
    <row r="72" spans="16:31">
      <c r="P72" s="28">
        <v>69</v>
      </c>
      <c r="Q72" s="82"/>
      <c r="R72" s="29"/>
      <c r="T72" s="30">
        <v>69</v>
      </c>
      <c r="U72" s="88"/>
      <c r="V72" s="89"/>
      <c r="W72" s="88"/>
      <c r="X72" s="88"/>
      <c r="Y72" s="88"/>
      <c r="Z72" s="90"/>
      <c r="AA72" s="88"/>
      <c r="AB72" s="91"/>
      <c r="AC72" s="91"/>
      <c r="AD72" s="91"/>
      <c r="AE72" s="87"/>
    </row>
    <row r="73" spans="16:31">
      <c r="P73" s="32">
        <v>70</v>
      </c>
      <c r="Q73" s="82"/>
      <c r="R73" s="29"/>
      <c r="T73" s="30">
        <v>70</v>
      </c>
      <c r="U73" s="88"/>
      <c r="V73" s="89"/>
      <c r="W73" s="88"/>
      <c r="X73" s="88"/>
      <c r="Y73" s="88"/>
      <c r="Z73" s="90"/>
      <c r="AA73" s="88"/>
      <c r="AB73" s="91"/>
      <c r="AC73" s="91"/>
      <c r="AD73" s="91"/>
      <c r="AE73" s="87"/>
    </row>
    <row r="74" spans="16:31">
      <c r="P74" s="28">
        <v>71</v>
      </c>
      <c r="Q74" s="82"/>
      <c r="R74" s="29"/>
      <c r="T74" s="30">
        <v>71</v>
      </c>
      <c r="U74" s="88"/>
      <c r="V74" s="89"/>
      <c r="W74" s="88"/>
      <c r="X74" s="88"/>
      <c r="Y74" s="88"/>
      <c r="Z74" s="90"/>
      <c r="AA74" s="88"/>
      <c r="AB74" s="91"/>
      <c r="AC74" s="91"/>
      <c r="AD74" s="91"/>
      <c r="AE74" s="87"/>
    </row>
    <row r="75" spans="16:31">
      <c r="P75" s="32">
        <v>72</v>
      </c>
      <c r="Q75" s="82"/>
      <c r="R75" s="29"/>
      <c r="T75" s="30">
        <v>72</v>
      </c>
      <c r="U75" s="88"/>
      <c r="V75" s="89"/>
      <c r="W75" s="88"/>
      <c r="X75" s="88"/>
      <c r="Y75" s="88"/>
      <c r="Z75" s="90"/>
      <c r="AA75" s="88"/>
      <c r="AB75" s="91"/>
      <c r="AC75" s="91"/>
      <c r="AD75" s="91"/>
      <c r="AE75" s="87"/>
    </row>
    <row r="76" spans="16:31">
      <c r="P76" s="28">
        <v>73</v>
      </c>
      <c r="Q76" s="82"/>
      <c r="R76" s="29"/>
      <c r="T76" s="30">
        <v>73</v>
      </c>
      <c r="U76" s="88"/>
      <c r="V76" s="89"/>
      <c r="W76" s="88"/>
      <c r="X76" s="88"/>
      <c r="Y76" s="88"/>
      <c r="Z76" s="90"/>
      <c r="AA76" s="88"/>
      <c r="AB76" s="91"/>
      <c r="AC76" s="91"/>
      <c r="AD76" s="91"/>
      <c r="AE76" s="87"/>
    </row>
    <row r="77" spans="16:31">
      <c r="P77" s="32">
        <v>74</v>
      </c>
      <c r="Q77" s="82"/>
      <c r="R77" s="29"/>
      <c r="T77" s="30">
        <v>74</v>
      </c>
      <c r="U77" s="88"/>
      <c r="V77" s="89"/>
      <c r="W77" s="88"/>
      <c r="X77" s="88"/>
      <c r="Y77" s="88"/>
      <c r="Z77" s="90"/>
      <c r="AA77" s="88"/>
      <c r="AB77" s="91"/>
      <c r="AC77" s="91"/>
      <c r="AD77" s="91"/>
      <c r="AE77" s="87"/>
    </row>
    <row r="78" spans="16:31">
      <c r="P78" s="28">
        <v>75</v>
      </c>
      <c r="Q78" s="82"/>
      <c r="R78" s="29"/>
      <c r="T78" s="30">
        <v>75</v>
      </c>
      <c r="U78" s="88"/>
      <c r="V78" s="89"/>
      <c r="W78" s="88"/>
      <c r="X78" s="88"/>
      <c r="Y78" s="88"/>
      <c r="Z78" s="90"/>
      <c r="AA78" s="88"/>
      <c r="AB78" s="91"/>
      <c r="AC78" s="91"/>
      <c r="AD78" s="91"/>
      <c r="AE78" s="87"/>
    </row>
    <row r="79" spans="16:31">
      <c r="P79" s="32">
        <v>76</v>
      </c>
      <c r="Q79" s="82"/>
      <c r="R79" s="29"/>
      <c r="T79" s="30">
        <v>76</v>
      </c>
      <c r="U79" s="88"/>
      <c r="V79" s="89"/>
      <c r="W79" s="88"/>
      <c r="X79" s="88"/>
      <c r="Y79" s="88"/>
      <c r="Z79" s="90"/>
      <c r="AA79" s="88"/>
      <c r="AB79" s="91"/>
      <c r="AC79" s="91"/>
      <c r="AD79" s="91"/>
      <c r="AE79" s="87"/>
    </row>
    <row r="80" spans="16:31">
      <c r="P80" s="28">
        <v>77</v>
      </c>
      <c r="Q80" s="82"/>
      <c r="R80" s="29"/>
      <c r="T80" s="30">
        <v>77</v>
      </c>
      <c r="U80" s="88"/>
      <c r="V80" s="89"/>
      <c r="W80" s="88"/>
      <c r="X80" s="88"/>
      <c r="Y80" s="88"/>
      <c r="Z80" s="90"/>
      <c r="AA80" s="88"/>
      <c r="AB80" s="91"/>
      <c r="AC80" s="91"/>
      <c r="AD80" s="91"/>
      <c r="AE80" s="87"/>
    </row>
    <row r="81" spans="16:31">
      <c r="P81" s="32">
        <v>78</v>
      </c>
      <c r="Q81" s="82"/>
      <c r="R81" s="29"/>
      <c r="T81" s="30">
        <v>78</v>
      </c>
      <c r="U81" s="88"/>
      <c r="V81" s="89"/>
      <c r="W81" s="88"/>
      <c r="X81" s="88"/>
      <c r="Y81" s="88"/>
      <c r="Z81" s="90"/>
      <c r="AA81" s="88"/>
      <c r="AB81" s="91"/>
      <c r="AC81" s="91"/>
      <c r="AD81" s="91"/>
      <c r="AE81" s="87"/>
    </row>
    <row r="82" spans="16:31">
      <c r="P82" s="28">
        <v>79</v>
      </c>
      <c r="Q82" s="82"/>
      <c r="R82" s="29"/>
      <c r="T82" s="30">
        <v>79</v>
      </c>
      <c r="U82" s="88"/>
      <c r="V82" s="89"/>
      <c r="W82" s="88"/>
      <c r="X82" s="88"/>
      <c r="Y82" s="88"/>
      <c r="Z82" s="90"/>
      <c r="AA82" s="88"/>
      <c r="AB82" s="91"/>
      <c r="AC82" s="91"/>
      <c r="AD82" s="91"/>
      <c r="AE82" s="87"/>
    </row>
    <row r="83" spans="16:31">
      <c r="P83" s="32">
        <v>80</v>
      </c>
      <c r="Q83" s="82"/>
      <c r="R83" s="29"/>
      <c r="T83" s="30">
        <v>80</v>
      </c>
      <c r="U83" s="88"/>
      <c r="V83" s="89"/>
      <c r="W83" s="88"/>
      <c r="X83" s="88"/>
      <c r="Y83" s="88"/>
      <c r="Z83" s="90"/>
      <c r="AA83" s="88"/>
      <c r="AB83" s="91"/>
      <c r="AC83" s="91"/>
      <c r="AD83" s="91"/>
      <c r="AE83" s="87"/>
    </row>
    <row r="84" spans="16:31">
      <c r="P84" s="28">
        <v>81</v>
      </c>
      <c r="Q84" s="82"/>
      <c r="R84" s="29"/>
      <c r="T84" s="30">
        <v>81</v>
      </c>
      <c r="U84" s="88"/>
      <c r="V84" s="89"/>
      <c r="W84" s="88"/>
      <c r="X84" s="88"/>
      <c r="Y84" s="88"/>
      <c r="Z84" s="90"/>
      <c r="AA84" s="88"/>
      <c r="AB84" s="91"/>
      <c r="AC84" s="91"/>
      <c r="AD84" s="91"/>
      <c r="AE84" s="87"/>
    </row>
    <row r="85" spans="16:31">
      <c r="P85" s="32">
        <v>82</v>
      </c>
      <c r="Q85" s="82"/>
      <c r="R85" s="29"/>
      <c r="T85" s="30">
        <v>82</v>
      </c>
      <c r="U85" s="88"/>
      <c r="V85" s="89"/>
      <c r="W85" s="88"/>
      <c r="X85" s="88"/>
      <c r="Y85" s="88"/>
      <c r="Z85" s="90"/>
      <c r="AA85" s="88"/>
      <c r="AB85" s="91"/>
      <c r="AC85" s="91"/>
      <c r="AD85" s="91"/>
      <c r="AE85" s="87"/>
    </row>
    <row r="86" spans="16:31">
      <c r="P86" s="28">
        <v>83</v>
      </c>
      <c r="Q86" s="82"/>
      <c r="R86" s="29"/>
      <c r="T86" s="30">
        <v>83</v>
      </c>
      <c r="U86" s="88"/>
      <c r="V86" s="89"/>
      <c r="W86" s="88"/>
      <c r="X86" s="88"/>
      <c r="Y86" s="88"/>
      <c r="Z86" s="90"/>
      <c r="AA86" s="88"/>
      <c r="AB86" s="91"/>
      <c r="AC86" s="91"/>
      <c r="AD86" s="91"/>
      <c r="AE86" s="87"/>
    </row>
    <row r="87" spans="16:31">
      <c r="P87" s="32">
        <v>84</v>
      </c>
      <c r="Q87" s="82"/>
      <c r="R87" s="29"/>
      <c r="T87" s="30">
        <v>84</v>
      </c>
      <c r="U87" s="88"/>
      <c r="V87" s="89"/>
      <c r="W87" s="88"/>
      <c r="X87" s="88"/>
      <c r="Y87" s="88"/>
      <c r="Z87" s="90"/>
      <c r="AA87" s="88"/>
      <c r="AB87" s="91"/>
      <c r="AC87" s="91"/>
      <c r="AD87" s="91"/>
      <c r="AE87" s="87"/>
    </row>
    <row r="88" spans="16:31">
      <c r="P88" s="28">
        <v>85</v>
      </c>
      <c r="Q88" s="82"/>
      <c r="R88" s="29"/>
      <c r="T88" s="30">
        <v>85</v>
      </c>
      <c r="U88" s="88"/>
      <c r="V88" s="89"/>
      <c r="W88" s="88"/>
      <c r="X88" s="88"/>
      <c r="Y88" s="88"/>
      <c r="Z88" s="90"/>
      <c r="AA88" s="88"/>
      <c r="AB88" s="91"/>
      <c r="AC88" s="91"/>
      <c r="AD88" s="91"/>
      <c r="AE88" s="87"/>
    </row>
    <row r="89" spans="16:31">
      <c r="P89" s="32">
        <v>86</v>
      </c>
      <c r="Q89" s="82"/>
      <c r="R89" s="29"/>
      <c r="T89" s="30">
        <v>86</v>
      </c>
      <c r="U89" s="88"/>
      <c r="V89" s="89"/>
      <c r="W89" s="88"/>
      <c r="X89" s="88"/>
      <c r="Y89" s="88"/>
      <c r="Z89" s="90"/>
      <c r="AA89" s="88"/>
      <c r="AB89" s="91"/>
      <c r="AC89" s="91"/>
      <c r="AD89" s="91"/>
      <c r="AE89" s="87"/>
    </row>
    <row r="90" spans="16:31">
      <c r="P90" s="28">
        <v>87</v>
      </c>
      <c r="Q90" s="82"/>
      <c r="R90" s="29"/>
      <c r="T90" s="30">
        <v>87</v>
      </c>
      <c r="U90" s="88"/>
      <c r="V90" s="89"/>
      <c r="W90" s="88"/>
      <c r="X90" s="88"/>
      <c r="Y90" s="88"/>
      <c r="Z90" s="90"/>
      <c r="AA90" s="88"/>
      <c r="AB90" s="91"/>
      <c r="AC90" s="91"/>
      <c r="AD90" s="91"/>
      <c r="AE90" s="87"/>
    </row>
    <row r="91" spans="16:31">
      <c r="P91" s="32">
        <v>88</v>
      </c>
      <c r="Q91" s="82"/>
      <c r="R91" s="29"/>
      <c r="T91" s="30">
        <v>88</v>
      </c>
      <c r="U91" s="88"/>
      <c r="V91" s="89"/>
      <c r="W91" s="88"/>
      <c r="X91" s="88"/>
      <c r="Y91" s="88"/>
      <c r="Z91" s="90"/>
      <c r="AA91" s="88"/>
      <c r="AB91" s="91"/>
      <c r="AC91" s="91"/>
      <c r="AD91" s="91"/>
      <c r="AE91" s="87"/>
    </row>
    <row r="92" spans="16:31">
      <c r="P92" s="28">
        <v>89</v>
      </c>
      <c r="Q92" s="82"/>
      <c r="R92" s="29"/>
      <c r="T92" s="30">
        <v>89</v>
      </c>
      <c r="U92" s="88"/>
      <c r="V92" s="89"/>
      <c r="W92" s="88"/>
      <c r="X92" s="88"/>
      <c r="Y92" s="88"/>
      <c r="Z92" s="90"/>
      <c r="AA92" s="88"/>
      <c r="AB92" s="91"/>
      <c r="AC92" s="91"/>
      <c r="AD92" s="91"/>
      <c r="AE92" s="87"/>
    </row>
    <row r="93" spans="16:31">
      <c r="P93" s="32">
        <v>90</v>
      </c>
      <c r="Q93" s="82"/>
      <c r="R93" s="29"/>
      <c r="T93" s="30">
        <v>90</v>
      </c>
      <c r="U93" s="88"/>
      <c r="V93" s="89"/>
      <c r="W93" s="88"/>
      <c r="X93" s="88"/>
      <c r="Y93" s="88"/>
      <c r="Z93" s="90"/>
      <c r="AA93" s="88"/>
      <c r="AB93" s="91"/>
      <c r="AC93" s="91"/>
      <c r="AD93" s="91"/>
      <c r="AE93" s="87"/>
    </row>
    <row r="94" spans="16:31">
      <c r="P94" s="28">
        <v>91</v>
      </c>
      <c r="Q94" s="82"/>
      <c r="R94" s="29"/>
      <c r="T94" s="30">
        <v>91</v>
      </c>
      <c r="U94" s="88"/>
      <c r="V94" s="89"/>
      <c r="W94" s="88"/>
      <c r="X94" s="88"/>
      <c r="Y94" s="88"/>
      <c r="Z94" s="90"/>
      <c r="AA94" s="88"/>
      <c r="AB94" s="91"/>
      <c r="AC94" s="91"/>
      <c r="AD94" s="91"/>
      <c r="AE94" s="87"/>
    </row>
    <row r="95" spans="16:31">
      <c r="P95" s="32">
        <v>92</v>
      </c>
      <c r="Q95" s="82"/>
      <c r="R95" s="29"/>
      <c r="T95" s="30">
        <v>92</v>
      </c>
      <c r="U95" s="88"/>
      <c r="V95" s="89"/>
      <c r="W95" s="88"/>
      <c r="X95" s="88"/>
      <c r="Y95" s="88"/>
      <c r="Z95" s="90"/>
      <c r="AA95" s="88"/>
      <c r="AB95" s="91"/>
      <c r="AC95" s="91"/>
      <c r="AD95" s="91"/>
      <c r="AE95" s="87"/>
    </row>
    <row r="96" spans="16:31">
      <c r="P96" s="28">
        <v>93</v>
      </c>
      <c r="Q96" s="82"/>
      <c r="R96" s="29"/>
      <c r="T96" s="30">
        <v>93</v>
      </c>
      <c r="U96" s="88"/>
      <c r="V96" s="89"/>
      <c r="W96" s="88"/>
      <c r="X96" s="88"/>
      <c r="Y96" s="88"/>
      <c r="Z96" s="90"/>
      <c r="AA96" s="88"/>
      <c r="AB96" s="91"/>
      <c r="AC96" s="91"/>
      <c r="AD96" s="91"/>
      <c r="AE96" s="87"/>
    </row>
    <row r="97" spans="16:31">
      <c r="P97" s="32">
        <v>94</v>
      </c>
      <c r="Q97" s="82"/>
      <c r="R97" s="29"/>
      <c r="T97" s="30">
        <v>94</v>
      </c>
      <c r="U97" s="88"/>
      <c r="V97" s="89"/>
      <c r="W97" s="88"/>
      <c r="X97" s="88"/>
      <c r="Y97" s="88"/>
      <c r="Z97" s="90"/>
      <c r="AA97" s="88"/>
      <c r="AB97" s="91"/>
      <c r="AC97" s="91"/>
      <c r="AD97" s="91"/>
      <c r="AE97" s="87"/>
    </row>
    <row r="98" spans="16:31">
      <c r="P98" s="28">
        <v>95</v>
      </c>
      <c r="Q98" s="82"/>
      <c r="R98" s="29"/>
      <c r="T98" s="30">
        <v>95</v>
      </c>
      <c r="U98" s="88"/>
      <c r="V98" s="89"/>
      <c r="W98" s="88"/>
      <c r="X98" s="88"/>
      <c r="Y98" s="88"/>
      <c r="Z98" s="90"/>
      <c r="AA98" s="88"/>
      <c r="AB98" s="91"/>
      <c r="AC98" s="91"/>
      <c r="AD98" s="91"/>
      <c r="AE98" s="87"/>
    </row>
    <row r="99" spans="16:31">
      <c r="P99" s="32">
        <v>96</v>
      </c>
      <c r="Q99" s="82"/>
      <c r="R99" s="29"/>
      <c r="T99" s="30">
        <v>96</v>
      </c>
      <c r="U99" s="88"/>
      <c r="V99" s="89"/>
      <c r="W99" s="88"/>
      <c r="X99" s="88"/>
      <c r="Y99" s="88"/>
      <c r="Z99" s="90"/>
      <c r="AA99" s="88"/>
      <c r="AB99" s="91"/>
      <c r="AC99" s="91"/>
      <c r="AD99" s="91"/>
      <c r="AE99" s="87"/>
    </row>
    <row r="100" spans="16:31">
      <c r="P100" s="28">
        <v>97</v>
      </c>
      <c r="Q100" s="82"/>
      <c r="R100" s="29"/>
      <c r="T100" s="30">
        <v>97</v>
      </c>
      <c r="U100" s="88"/>
      <c r="V100" s="89"/>
      <c r="W100" s="88"/>
      <c r="X100" s="88"/>
      <c r="Y100" s="88"/>
      <c r="Z100" s="90"/>
      <c r="AA100" s="88"/>
      <c r="AB100" s="91"/>
      <c r="AC100" s="91"/>
      <c r="AD100" s="91"/>
      <c r="AE100" s="87"/>
    </row>
    <row r="101" spans="16:31">
      <c r="P101" s="32">
        <v>98</v>
      </c>
      <c r="Q101" s="82"/>
      <c r="R101" s="29"/>
      <c r="T101" s="30">
        <v>98</v>
      </c>
      <c r="U101" s="88"/>
      <c r="V101" s="89"/>
      <c r="W101" s="88"/>
      <c r="X101" s="88"/>
      <c r="Y101" s="88"/>
      <c r="Z101" s="90"/>
      <c r="AA101" s="88"/>
      <c r="AB101" s="91"/>
      <c r="AC101" s="91"/>
      <c r="AD101" s="91"/>
      <c r="AE101" s="87"/>
    </row>
    <row r="102" spans="16:31">
      <c r="P102" s="28">
        <v>99</v>
      </c>
      <c r="Q102" s="82"/>
      <c r="R102" s="29"/>
      <c r="T102" s="30">
        <v>99</v>
      </c>
      <c r="U102" s="88"/>
      <c r="V102" s="89"/>
      <c r="W102" s="88"/>
      <c r="X102" s="88"/>
      <c r="Y102" s="88"/>
      <c r="Z102" s="90"/>
      <c r="AA102" s="88"/>
      <c r="AB102" s="91"/>
      <c r="AC102" s="91"/>
      <c r="AD102" s="91"/>
      <c r="AE102" s="87"/>
    </row>
    <row r="103" spans="16:31">
      <c r="P103" s="32">
        <v>100</v>
      </c>
      <c r="Q103" s="101"/>
      <c r="R103" s="102"/>
      <c r="S103" s="103"/>
      <c r="T103" s="104">
        <v>100</v>
      </c>
      <c r="U103" s="105"/>
      <c r="V103" s="106"/>
      <c r="W103" s="105"/>
      <c r="X103" s="105"/>
      <c r="Y103" s="105"/>
      <c r="Z103" s="90"/>
      <c r="AA103" s="88"/>
      <c r="AB103" s="91"/>
      <c r="AC103" s="91"/>
      <c r="AD103" s="91"/>
      <c r="AE103" s="87"/>
    </row>
    <row r="104" spans="16:31">
      <c r="P104" s="65"/>
      <c r="Q104" s="107"/>
      <c r="R104" s="66"/>
      <c r="T104" s="108" t="s">
        <v>88</v>
      </c>
      <c r="U104" s="109"/>
      <c r="V104" s="109"/>
      <c r="W104" s="109"/>
      <c r="X104" s="109"/>
      <c r="Y104" s="110"/>
      <c r="Z104" s="111"/>
      <c r="AA104" s="112"/>
      <c r="AB104" s="113"/>
      <c r="AC104" s="113"/>
      <c r="AD104" s="113"/>
      <c r="AE104" s="113"/>
    </row>
    <row r="105" spans="16:31">
      <c r="P105" s="16"/>
      <c r="Q105" s="114"/>
      <c r="R105" s="115"/>
    </row>
    <row r="106" spans="16:31">
      <c r="P106" s="116"/>
      <c r="Q106" s="117"/>
      <c r="R106" s="115"/>
    </row>
    <row r="107" spans="16:31">
      <c r="P107" s="16"/>
      <c r="Q107" s="114"/>
      <c r="R107" s="115"/>
    </row>
    <row r="108" spans="16:31">
      <c r="P108" s="116"/>
      <c r="Q108" s="117"/>
      <c r="R108" s="115"/>
    </row>
    <row r="109" spans="16:31">
      <c r="P109" s="16"/>
      <c r="Q109" s="114"/>
      <c r="R109" s="115"/>
    </row>
    <row r="110" spans="16:31">
      <c r="P110" s="116"/>
      <c r="Q110" s="117"/>
      <c r="R110" s="115"/>
    </row>
    <row r="111" spans="16:31">
      <c r="P111" s="16"/>
      <c r="Q111" s="114"/>
      <c r="R111" s="115"/>
    </row>
    <row r="112" spans="16:31">
      <c r="P112" s="116"/>
      <c r="Q112" s="117"/>
      <c r="R112" s="115"/>
    </row>
    <row r="113" spans="16:18">
      <c r="P113" s="16"/>
      <c r="Q113" s="114"/>
      <c r="R113" s="115"/>
    </row>
    <row r="114" spans="16:18">
      <c r="P114" s="116"/>
      <c r="Q114" s="117"/>
      <c r="R114" s="115"/>
    </row>
    <row r="115" spans="16:18">
      <c r="P115" s="16"/>
      <c r="Q115" s="114"/>
      <c r="R115" s="115"/>
    </row>
    <row r="116" spans="16:18">
      <c r="P116" s="116"/>
      <c r="Q116" s="117"/>
      <c r="R116" s="115"/>
    </row>
    <row r="117" spans="16:18">
      <c r="P117" s="16"/>
      <c r="Q117" s="114"/>
      <c r="R117" s="115"/>
    </row>
    <row r="118" spans="16:18">
      <c r="P118" s="116"/>
      <c r="Q118" s="117"/>
      <c r="R118" s="115"/>
    </row>
    <row r="119" spans="16:18">
      <c r="P119" s="16"/>
      <c r="Q119" s="114"/>
      <c r="R119" s="115"/>
    </row>
    <row r="120" spans="16:18">
      <c r="P120" s="116"/>
      <c r="Q120" s="117"/>
      <c r="R120" s="115"/>
    </row>
    <row r="121" spans="16:18">
      <c r="P121" s="16"/>
      <c r="Q121" s="114"/>
      <c r="R121" s="115"/>
    </row>
    <row r="122" spans="16:18">
      <c r="P122" s="116"/>
      <c r="Q122" s="117"/>
      <c r="R122" s="115"/>
    </row>
    <row r="123" spans="16:18">
      <c r="P123" s="16"/>
      <c r="Q123" s="114"/>
      <c r="R123" s="115"/>
    </row>
    <row r="124" spans="16:18">
      <c r="P124" s="116"/>
      <c r="Q124" s="117"/>
      <c r="R124" s="115"/>
    </row>
    <row r="125" spans="16:18">
      <c r="P125" s="16"/>
      <c r="Q125" s="114"/>
      <c r="R125" s="115"/>
    </row>
    <row r="126" spans="16:18">
      <c r="P126" s="116"/>
      <c r="Q126" s="117"/>
      <c r="R126" s="115"/>
    </row>
    <row r="127" spans="16:18">
      <c r="P127" s="16"/>
      <c r="Q127" s="114"/>
      <c r="R127" s="115"/>
    </row>
    <row r="128" spans="16:18">
      <c r="P128" s="116"/>
      <c r="Q128" s="117"/>
      <c r="R128" s="115"/>
    </row>
    <row r="129" spans="16:18">
      <c r="P129" s="16"/>
      <c r="Q129" s="114"/>
      <c r="R129" s="115"/>
    </row>
    <row r="130" spans="16:18">
      <c r="P130" s="116"/>
      <c r="Q130" s="117"/>
      <c r="R130" s="115"/>
    </row>
    <row r="131" spans="16:18">
      <c r="P131" s="16"/>
      <c r="Q131" s="114"/>
      <c r="R131" s="115"/>
    </row>
    <row r="132" spans="16:18">
      <c r="P132" s="116"/>
      <c r="Q132" s="117"/>
      <c r="R132" s="115"/>
    </row>
    <row r="133" spans="16:18">
      <c r="P133" s="16"/>
      <c r="Q133" s="114"/>
      <c r="R133" s="115"/>
    </row>
    <row r="134" spans="16:18">
      <c r="P134" s="116"/>
      <c r="Q134" s="117"/>
      <c r="R134" s="115"/>
    </row>
    <row r="135" spans="16:18">
      <c r="P135" s="16"/>
      <c r="Q135" s="114"/>
      <c r="R135" s="115"/>
    </row>
    <row r="136" spans="16:18">
      <c r="P136" s="116"/>
      <c r="Q136" s="117"/>
      <c r="R136" s="115"/>
    </row>
    <row r="137" spans="16:18">
      <c r="P137" s="16"/>
      <c r="Q137" s="114"/>
      <c r="R137" s="115"/>
    </row>
    <row r="138" spans="16:18">
      <c r="P138" s="116"/>
      <c r="Q138" s="117"/>
      <c r="R138" s="115"/>
    </row>
    <row r="139" spans="16:18">
      <c r="P139" s="16"/>
      <c r="Q139" s="114"/>
      <c r="R139" s="115"/>
    </row>
    <row r="140" spans="16:18">
      <c r="P140" s="116"/>
      <c r="Q140" s="117"/>
      <c r="R140" s="115"/>
    </row>
    <row r="141" spans="16:18">
      <c r="P141" s="16"/>
      <c r="Q141" s="114"/>
      <c r="R141" s="115"/>
    </row>
    <row r="142" spans="16:18">
      <c r="P142" s="116"/>
      <c r="Q142" s="117"/>
      <c r="R142" s="115"/>
    </row>
    <row r="143" spans="16:18">
      <c r="P143" s="16"/>
      <c r="Q143" s="114"/>
      <c r="R143" s="115"/>
    </row>
    <row r="144" spans="16:18">
      <c r="P144" s="116"/>
      <c r="Q144" s="117"/>
      <c r="R144" s="115"/>
    </row>
    <row r="145" spans="16:18">
      <c r="P145" s="16"/>
      <c r="Q145" s="114"/>
      <c r="R145" s="115"/>
    </row>
    <row r="146" spans="16:18">
      <c r="P146" s="116"/>
      <c r="Q146" s="117"/>
      <c r="R146" s="115"/>
    </row>
    <row r="147" spans="16:18">
      <c r="P147" s="16"/>
      <c r="Q147" s="114"/>
      <c r="R147" s="115"/>
    </row>
    <row r="148" spans="16:18">
      <c r="P148" s="116"/>
      <c r="Q148" s="117"/>
      <c r="R148" s="115"/>
    </row>
    <row r="149" spans="16:18">
      <c r="P149" s="16"/>
      <c r="Q149" s="114"/>
      <c r="R149" s="115"/>
    </row>
    <row r="150" spans="16:18">
      <c r="P150" s="116"/>
      <c r="Q150" s="117"/>
      <c r="R150" s="115"/>
    </row>
    <row r="151" spans="16:18">
      <c r="P151" s="16"/>
      <c r="Q151" s="114"/>
      <c r="R151" s="115"/>
    </row>
    <row r="152" spans="16:18">
      <c r="P152" s="116"/>
      <c r="Q152" s="117"/>
      <c r="R152" s="115"/>
    </row>
    <row r="153" spans="16:18">
      <c r="P153" s="16"/>
      <c r="Q153" s="114"/>
      <c r="R153" s="115"/>
    </row>
    <row r="154" spans="16:18">
      <c r="P154" s="116"/>
      <c r="Q154" s="117"/>
      <c r="R154" s="115"/>
    </row>
    <row r="155" spans="16:18">
      <c r="P155" s="16"/>
      <c r="Q155" s="114"/>
      <c r="R155" s="115"/>
    </row>
    <row r="156" spans="16:18">
      <c r="P156" s="116"/>
      <c r="Q156" s="117"/>
      <c r="R156" s="115"/>
    </row>
    <row r="157" spans="16:18">
      <c r="P157" s="16"/>
      <c r="Q157" s="114"/>
      <c r="R157" s="115"/>
    </row>
    <row r="158" spans="16:18">
      <c r="P158" s="116"/>
      <c r="Q158" s="117"/>
      <c r="R158" s="115"/>
    </row>
    <row r="159" spans="16:18">
      <c r="P159" s="16"/>
      <c r="Q159" s="114"/>
      <c r="R159" s="115"/>
    </row>
    <row r="160" spans="16:18">
      <c r="P160" s="116"/>
      <c r="Q160" s="117"/>
      <c r="R160" s="115"/>
    </row>
    <row r="161" spans="16:18">
      <c r="P161" s="16"/>
      <c r="Q161" s="114"/>
      <c r="R161" s="115"/>
    </row>
    <row r="162" spans="16:18">
      <c r="P162" s="116"/>
      <c r="Q162" s="117"/>
      <c r="R162" s="115"/>
    </row>
    <row r="163" spans="16:18">
      <c r="P163" s="16"/>
      <c r="Q163" s="114"/>
      <c r="R163" s="115"/>
    </row>
    <row r="164" spans="16:18">
      <c r="P164" s="116"/>
      <c r="Q164" s="117"/>
      <c r="R164" s="115"/>
    </row>
    <row r="165" spans="16:18">
      <c r="P165" s="16"/>
      <c r="Q165" s="114"/>
      <c r="R165" s="115"/>
    </row>
    <row r="166" spans="16:18">
      <c r="P166" s="116"/>
      <c r="Q166" s="117"/>
      <c r="R166" s="115"/>
    </row>
    <row r="167" spans="16:18">
      <c r="P167" s="16"/>
      <c r="Q167" s="114"/>
      <c r="R167" s="115"/>
    </row>
    <row r="168" spans="16:18">
      <c r="P168" s="116"/>
      <c r="Q168" s="117"/>
      <c r="R168" s="115"/>
    </row>
    <row r="169" spans="16:18">
      <c r="P169" s="16"/>
      <c r="Q169" s="114"/>
      <c r="R169" s="115"/>
    </row>
    <row r="170" spans="16:18">
      <c r="P170" s="116"/>
      <c r="Q170" s="117"/>
      <c r="R170" s="115"/>
    </row>
    <row r="171" spans="16:18">
      <c r="P171" s="16"/>
      <c r="Q171" s="114"/>
      <c r="R171" s="115"/>
    </row>
    <row r="172" spans="16:18">
      <c r="P172" s="116"/>
      <c r="Q172" s="117"/>
      <c r="R172" s="115"/>
    </row>
    <row r="173" spans="16:18">
      <c r="P173" s="16"/>
      <c r="Q173" s="114"/>
      <c r="R173" s="115"/>
    </row>
    <row r="174" spans="16:18">
      <c r="P174" s="116"/>
      <c r="Q174" s="117"/>
      <c r="R174" s="115"/>
    </row>
    <row r="175" spans="16:18">
      <c r="P175" s="16"/>
      <c r="Q175" s="114"/>
      <c r="R175" s="115"/>
    </row>
    <row r="176" spans="16:18">
      <c r="P176" s="116"/>
      <c r="Q176" s="117"/>
      <c r="R176" s="115"/>
    </row>
    <row r="177" spans="16:18">
      <c r="P177" s="16"/>
      <c r="Q177" s="114"/>
      <c r="R177" s="115"/>
    </row>
    <row r="178" spans="16:18">
      <c r="P178" s="116"/>
      <c r="Q178" s="117"/>
      <c r="R178" s="115"/>
    </row>
    <row r="179" spans="16:18">
      <c r="P179" s="16"/>
      <c r="Q179" s="114"/>
      <c r="R179" s="115"/>
    </row>
    <row r="180" spans="16:18">
      <c r="P180" s="116"/>
      <c r="Q180" s="117"/>
      <c r="R180" s="115"/>
    </row>
    <row r="181" spans="16:18">
      <c r="P181" s="16"/>
      <c r="Q181" s="114"/>
      <c r="R181" s="115"/>
    </row>
    <row r="182" spans="16:18">
      <c r="P182" s="116"/>
      <c r="Q182" s="117"/>
      <c r="R182" s="115"/>
    </row>
    <row r="183" spans="16:18">
      <c r="P183" s="16"/>
      <c r="Q183" s="114"/>
      <c r="R183" s="115"/>
    </row>
    <row r="184" spans="16:18">
      <c r="P184" s="116"/>
      <c r="Q184" s="117"/>
      <c r="R184" s="115"/>
    </row>
    <row r="185" spans="16:18">
      <c r="P185" s="16"/>
      <c r="Q185" s="114"/>
      <c r="R185" s="115"/>
    </row>
    <row r="186" spans="16:18">
      <c r="P186" s="116"/>
      <c r="Q186" s="117"/>
      <c r="R186" s="115"/>
    </row>
    <row r="187" spans="16:18">
      <c r="P187" s="16"/>
      <c r="Q187" s="114"/>
      <c r="R187" s="115"/>
    </row>
    <row r="188" spans="16:18">
      <c r="P188" s="116"/>
      <c r="Q188" s="117"/>
      <c r="R188" s="115"/>
    </row>
    <row r="189" spans="16:18">
      <c r="P189" s="16"/>
      <c r="Q189" s="114"/>
      <c r="R189" s="115"/>
    </row>
    <row r="190" spans="16:18">
      <c r="P190" s="116"/>
      <c r="Q190" s="117"/>
      <c r="R190" s="115"/>
    </row>
    <row r="191" spans="16:18">
      <c r="P191" s="16"/>
      <c r="Q191" s="114"/>
      <c r="R191" s="115"/>
    </row>
    <row r="192" spans="16:18">
      <c r="P192" s="116"/>
      <c r="Q192" s="117"/>
      <c r="R192" s="115"/>
    </row>
    <row r="193" spans="16:18">
      <c r="P193" s="16"/>
      <c r="Q193" s="114"/>
      <c r="R193" s="115"/>
    </row>
    <row r="194" spans="16:18">
      <c r="P194" s="116"/>
      <c r="Q194" s="117"/>
      <c r="R194" s="115"/>
    </row>
    <row r="195" spans="16:18">
      <c r="P195" s="16"/>
      <c r="Q195" s="114"/>
      <c r="R195" s="115"/>
    </row>
    <row r="196" spans="16:18">
      <c r="P196" s="116"/>
      <c r="Q196" s="117"/>
      <c r="R196" s="115"/>
    </row>
    <row r="197" spans="16:18">
      <c r="P197" s="16"/>
      <c r="Q197" s="114"/>
      <c r="R197" s="115"/>
    </row>
    <row r="198" spans="16:18">
      <c r="P198" s="116"/>
      <c r="Q198" s="117"/>
      <c r="R198" s="115"/>
    </row>
    <row r="199" spans="16:18">
      <c r="P199" s="16"/>
      <c r="Q199" s="114"/>
      <c r="R199" s="115"/>
    </row>
    <row r="200" spans="16:18">
      <c r="P200" s="116"/>
      <c r="Q200" s="117"/>
      <c r="R200" s="115"/>
    </row>
    <row r="201" spans="16:18">
      <c r="P201" s="16"/>
      <c r="Q201" s="114"/>
      <c r="R201" s="115"/>
    </row>
    <row r="202" spans="16:18">
      <c r="P202" s="116"/>
      <c r="Q202" s="117"/>
      <c r="R202" s="115"/>
    </row>
    <row r="203" spans="16:18">
      <c r="P203" s="16"/>
      <c r="Q203" s="114"/>
      <c r="R203" s="115"/>
    </row>
    <row r="204" spans="16:18">
      <c r="P204" s="116"/>
      <c r="Q204" s="117"/>
      <c r="R204" s="115"/>
    </row>
    <row r="205" spans="16:18">
      <c r="P205" s="16"/>
      <c r="Q205" s="114"/>
      <c r="R205" s="115"/>
    </row>
    <row r="206" spans="16:18">
      <c r="P206" s="116"/>
      <c r="Q206" s="117"/>
      <c r="R206" s="115"/>
    </row>
    <row r="207" spans="16:18">
      <c r="P207" s="16"/>
      <c r="Q207" s="114"/>
      <c r="R207" s="115"/>
    </row>
    <row r="208" spans="16:18">
      <c r="P208" s="116"/>
      <c r="Q208" s="117"/>
      <c r="R208" s="115"/>
    </row>
    <row r="209" spans="16:18">
      <c r="P209" s="16"/>
      <c r="Q209" s="114"/>
      <c r="R209" s="115"/>
    </row>
    <row r="210" spans="16:18">
      <c r="P210" s="116"/>
      <c r="Q210" s="117"/>
      <c r="R210" s="115"/>
    </row>
    <row r="211" spans="16:18">
      <c r="P211" s="16"/>
      <c r="Q211" s="114"/>
      <c r="R211" s="115"/>
    </row>
    <row r="212" spans="16:18">
      <c r="P212" s="116"/>
      <c r="Q212" s="117"/>
      <c r="R212" s="115"/>
    </row>
    <row r="213" spans="16:18">
      <c r="P213" s="16"/>
      <c r="Q213" s="114"/>
      <c r="R213" s="115"/>
    </row>
    <row r="214" spans="16:18">
      <c r="P214" s="116"/>
      <c r="Q214" s="117"/>
      <c r="R214" s="115"/>
    </row>
    <row r="215" spans="16:18">
      <c r="P215" s="16"/>
      <c r="Q215" s="114"/>
      <c r="R215" s="115"/>
    </row>
    <row r="216" spans="16:18">
      <c r="P216" s="116"/>
      <c r="Q216" s="117"/>
      <c r="R216" s="115"/>
    </row>
    <row r="217" spans="16:18">
      <c r="P217" s="16"/>
      <c r="Q217" s="114"/>
      <c r="R217" s="115"/>
    </row>
    <row r="218" spans="16:18">
      <c r="P218" s="116"/>
      <c r="Q218" s="117"/>
      <c r="R218" s="115"/>
    </row>
    <row r="219" spans="16:18">
      <c r="P219" s="16"/>
      <c r="Q219" s="114"/>
      <c r="R219" s="115"/>
    </row>
    <row r="220" spans="16:18">
      <c r="P220" s="116"/>
      <c r="Q220" s="117"/>
      <c r="R220" s="115"/>
    </row>
    <row r="221" spans="16:18">
      <c r="P221" s="16"/>
      <c r="Q221" s="114"/>
      <c r="R221" s="115"/>
    </row>
    <row r="222" spans="16:18">
      <c r="P222" s="116"/>
      <c r="Q222" s="117"/>
      <c r="R222" s="115"/>
    </row>
    <row r="223" spans="16:18">
      <c r="P223" s="16"/>
      <c r="Q223" s="114"/>
      <c r="R223" s="115"/>
    </row>
    <row r="224" spans="16:18">
      <c r="P224" s="116"/>
      <c r="Q224" s="117"/>
      <c r="R224" s="115"/>
    </row>
    <row r="225" spans="16:18">
      <c r="P225" s="16"/>
      <c r="Q225" s="114"/>
      <c r="R225" s="115"/>
    </row>
    <row r="226" spans="16:18">
      <c r="P226" s="116"/>
      <c r="Q226" s="117"/>
      <c r="R226" s="115"/>
    </row>
    <row r="227" spans="16:18">
      <c r="P227" s="16"/>
      <c r="Q227" s="114"/>
      <c r="R227" s="115"/>
    </row>
    <row r="228" spans="16:18">
      <c r="P228" s="116"/>
      <c r="Q228" s="117"/>
      <c r="R228" s="115"/>
    </row>
    <row r="229" spans="16:18">
      <c r="P229" s="16"/>
      <c r="Q229" s="114"/>
      <c r="R229" s="115"/>
    </row>
    <row r="230" spans="16:18">
      <c r="P230" s="116"/>
      <c r="Q230" s="117"/>
      <c r="R230" s="115"/>
    </row>
    <row r="231" spans="16:18">
      <c r="P231" s="16"/>
      <c r="Q231" s="114"/>
      <c r="R231" s="115"/>
    </row>
    <row r="232" spans="16:18">
      <c r="P232" s="116"/>
      <c r="Q232" s="117"/>
      <c r="R232" s="115"/>
    </row>
    <row r="233" spans="16:18">
      <c r="P233" s="16"/>
      <c r="Q233" s="114"/>
      <c r="R233" s="115"/>
    </row>
    <row r="234" spans="16:18">
      <c r="P234" s="116"/>
      <c r="Q234" s="117"/>
      <c r="R234" s="115"/>
    </row>
    <row r="235" spans="16:18">
      <c r="P235" s="16"/>
      <c r="Q235" s="114"/>
      <c r="R235" s="115"/>
    </row>
    <row r="236" spans="16:18">
      <c r="P236" s="116"/>
      <c r="Q236" s="117"/>
      <c r="R236" s="115"/>
    </row>
    <row r="237" spans="16:18">
      <c r="P237" s="16"/>
      <c r="Q237" s="114"/>
      <c r="R237" s="115"/>
    </row>
    <row r="238" spans="16:18">
      <c r="P238" s="116"/>
      <c r="Q238" s="117"/>
      <c r="R238" s="115"/>
    </row>
    <row r="239" spans="16:18">
      <c r="P239" s="16"/>
      <c r="Q239" s="114"/>
      <c r="R239" s="115"/>
    </row>
    <row r="240" spans="16:18">
      <c r="P240" s="116"/>
      <c r="Q240" s="117"/>
      <c r="R240" s="115"/>
    </row>
    <row r="241" spans="16:18">
      <c r="P241" s="16"/>
      <c r="Q241" s="114"/>
      <c r="R241" s="115"/>
    </row>
    <row r="242" spans="16:18">
      <c r="P242" s="116"/>
      <c r="Q242" s="117"/>
      <c r="R242" s="115"/>
    </row>
    <row r="243" spans="16:18">
      <c r="P243" s="16"/>
      <c r="Q243" s="114"/>
      <c r="R243" s="115"/>
    </row>
    <row r="244" spans="16:18">
      <c r="P244" s="116"/>
      <c r="Q244" s="117"/>
      <c r="R244" s="115"/>
    </row>
    <row r="245" spans="16:18">
      <c r="P245" s="16"/>
      <c r="Q245" s="114"/>
      <c r="R245" s="115"/>
    </row>
    <row r="246" spans="16:18">
      <c r="P246" s="116"/>
      <c r="Q246" s="117"/>
      <c r="R246" s="115"/>
    </row>
    <row r="247" spans="16:18">
      <c r="P247" s="16"/>
      <c r="Q247" s="114"/>
      <c r="R247" s="115"/>
    </row>
    <row r="248" spans="16:18">
      <c r="P248" s="116"/>
      <c r="Q248" s="117"/>
      <c r="R248" s="115"/>
    </row>
    <row r="249" spans="16:18">
      <c r="P249" s="16"/>
      <c r="Q249" s="114"/>
      <c r="R249" s="115"/>
    </row>
    <row r="250" spans="16:18">
      <c r="P250" s="116"/>
      <c r="Q250" s="117"/>
      <c r="R250" s="115"/>
    </row>
    <row r="251" spans="16:18">
      <c r="P251" s="16"/>
      <c r="Q251" s="114"/>
      <c r="R251" s="115"/>
    </row>
    <row r="252" spans="16:18">
      <c r="P252" s="116"/>
      <c r="Q252" s="117"/>
      <c r="R252" s="115"/>
    </row>
    <row r="253" spans="16:18">
      <c r="P253" s="16"/>
      <c r="Q253" s="114"/>
      <c r="R253" s="115"/>
    </row>
    <row r="254" spans="16:18">
      <c r="P254" s="116"/>
      <c r="Q254" s="117"/>
      <c r="R254" s="115"/>
    </row>
    <row r="255" spans="16:18">
      <c r="P255" s="16"/>
      <c r="Q255" s="114"/>
      <c r="R255" s="115"/>
    </row>
    <row r="256" spans="16:18">
      <c r="P256" s="116"/>
      <c r="Q256" s="117"/>
      <c r="R256" s="115"/>
    </row>
    <row r="257" spans="16:18">
      <c r="P257" s="16"/>
      <c r="Q257" s="114"/>
      <c r="R257" s="115"/>
    </row>
    <row r="258" spans="16:18">
      <c r="P258" s="116"/>
      <c r="Q258" s="117"/>
      <c r="R258" s="115"/>
    </row>
    <row r="259" spans="16:18">
      <c r="P259" s="16"/>
      <c r="Q259" s="114"/>
      <c r="R259" s="115"/>
    </row>
    <row r="260" spans="16:18">
      <c r="P260" s="116"/>
      <c r="Q260" s="117"/>
      <c r="R260" s="115"/>
    </row>
    <row r="261" spans="16:18">
      <c r="P261" s="16"/>
      <c r="Q261" s="114"/>
      <c r="R261" s="115"/>
    </row>
    <row r="262" spans="16:18">
      <c r="P262" s="116"/>
      <c r="Q262" s="117"/>
      <c r="R262" s="115"/>
    </row>
    <row r="263" spans="16:18">
      <c r="P263" s="16"/>
      <c r="Q263" s="114"/>
      <c r="R263" s="115"/>
    </row>
    <row r="264" spans="16:18">
      <c r="P264" s="116"/>
      <c r="Q264" s="117"/>
      <c r="R264" s="115"/>
    </row>
    <row r="265" spans="16:18">
      <c r="P265" s="16"/>
      <c r="Q265" s="114"/>
      <c r="R265" s="115"/>
    </row>
    <row r="266" spans="16:18">
      <c r="P266" s="116"/>
      <c r="Q266" s="117"/>
      <c r="R266" s="115"/>
    </row>
    <row r="267" spans="16:18">
      <c r="P267" s="16"/>
      <c r="Q267" s="114"/>
      <c r="R267" s="115"/>
    </row>
    <row r="268" spans="16:18">
      <c r="P268" s="116"/>
      <c r="Q268" s="117"/>
      <c r="R268" s="115"/>
    </row>
    <row r="269" spans="16:18">
      <c r="P269" s="16"/>
      <c r="Q269" s="114"/>
      <c r="R269" s="115"/>
    </row>
    <row r="270" spans="16:18">
      <c r="P270" s="116"/>
      <c r="Q270" s="117"/>
      <c r="R270" s="115"/>
    </row>
    <row r="271" spans="16:18">
      <c r="P271" s="16"/>
      <c r="Q271" s="114"/>
      <c r="R271" s="115"/>
    </row>
    <row r="272" spans="16:18">
      <c r="P272" s="116"/>
      <c r="Q272" s="117"/>
      <c r="R272" s="115"/>
    </row>
    <row r="273" spans="16:18">
      <c r="P273" s="16"/>
      <c r="Q273" s="114"/>
      <c r="R273" s="115"/>
    </row>
    <row r="274" spans="16:18">
      <c r="P274" s="116"/>
      <c r="Q274" s="117"/>
      <c r="R274" s="115"/>
    </row>
    <row r="275" spans="16:18">
      <c r="P275" s="16"/>
      <c r="Q275" s="114"/>
      <c r="R275" s="115"/>
    </row>
    <row r="276" spans="16:18">
      <c r="P276" s="116"/>
      <c r="Q276" s="117"/>
      <c r="R276" s="115"/>
    </row>
    <row r="277" spans="16:18">
      <c r="P277" s="16"/>
      <c r="Q277" s="114"/>
      <c r="R277" s="115"/>
    </row>
    <row r="278" spans="16:18">
      <c r="P278" s="116"/>
      <c r="Q278" s="117"/>
      <c r="R278" s="115"/>
    </row>
    <row r="279" spans="16:18">
      <c r="P279" s="16"/>
      <c r="Q279" s="114"/>
      <c r="R279" s="115"/>
    </row>
    <row r="280" spans="16:18">
      <c r="P280" s="116"/>
      <c r="Q280" s="117"/>
      <c r="R280" s="115"/>
    </row>
    <row r="281" spans="16:18">
      <c r="P281" s="16"/>
      <c r="Q281" s="114"/>
      <c r="R281" s="115"/>
    </row>
    <row r="282" spans="16:18">
      <c r="P282" s="116"/>
      <c r="Q282" s="117"/>
      <c r="R282" s="115"/>
    </row>
    <row r="283" spans="16:18">
      <c r="P283" s="16"/>
      <c r="Q283" s="114"/>
      <c r="R283" s="115"/>
    </row>
    <row r="284" spans="16:18">
      <c r="P284" s="116"/>
      <c r="Q284" s="117"/>
      <c r="R284" s="115"/>
    </row>
    <row r="285" spans="16:18">
      <c r="P285" s="16"/>
      <c r="Q285" s="114"/>
      <c r="R285" s="115"/>
    </row>
    <row r="286" spans="16:18">
      <c r="P286" s="116"/>
      <c r="Q286" s="117"/>
      <c r="R286" s="115"/>
    </row>
    <row r="287" spans="16:18">
      <c r="P287" s="16"/>
      <c r="Q287" s="114"/>
      <c r="R287" s="115"/>
    </row>
    <row r="288" spans="16:18">
      <c r="P288" s="116"/>
      <c r="Q288" s="117"/>
      <c r="R288" s="115"/>
    </row>
    <row r="289" spans="16:18">
      <c r="P289" s="16"/>
      <c r="Q289" s="114"/>
      <c r="R289" s="115"/>
    </row>
    <row r="290" spans="16:18">
      <c r="P290" s="116"/>
      <c r="Q290" s="117"/>
      <c r="R290" s="115"/>
    </row>
    <row r="291" spans="16:18">
      <c r="P291" s="16"/>
      <c r="Q291" s="114"/>
      <c r="R291" s="115"/>
    </row>
    <row r="292" spans="16:18">
      <c r="P292" s="116"/>
      <c r="Q292" s="117"/>
      <c r="R292" s="115"/>
    </row>
    <row r="293" spans="16:18">
      <c r="P293" s="16"/>
      <c r="Q293" s="114"/>
      <c r="R293" s="115"/>
    </row>
    <row r="294" spans="16:18">
      <c r="P294" s="116"/>
      <c r="Q294" s="117"/>
      <c r="R294" s="115"/>
    </row>
    <row r="295" spans="16:18">
      <c r="P295" s="16"/>
      <c r="Q295" s="114"/>
      <c r="R295" s="115"/>
    </row>
    <row r="296" spans="16:18">
      <c r="P296" s="116"/>
      <c r="Q296" s="117"/>
      <c r="R296" s="115"/>
    </row>
    <row r="297" spans="16:18">
      <c r="P297" s="16"/>
      <c r="Q297" s="114"/>
      <c r="R297" s="115"/>
    </row>
    <row r="298" spans="16:18">
      <c r="P298" s="116"/>
      <c r="Q298" s="117"/>
      <c r="R298" s="115"/>
    </row>
    <row r="299" spans="16:18">
      <c r="P299" s="16"/>
      <c r="Q299" s="114"/>
      <c r="R299" s="115"/>
    </row>
    <row r="300" spans="16:18">
      <c r="P300" s="116"/>
      <c r="Q300" s="117"/>
      <c r="R300" s="115"/>
    </row>
    <row r="301" spans="16:18">
      <c r="P301" s="16"/>
      <c r="Q301" s="114"/>
      <c r="R301" s="115"/>
    </row>
    <row r="302" spans="16:18">
      <c r="P302" s="116"/>
      <c r="Q302" s="117"/>
      <c r="R302" s="115"/>
    </row>
    <row r="303" spans="16:18">
      <c r="P303" s="16"/>
      <c r="Q303" s="114"/>
      <c r="R303" s="115"/>
    </row>
    <row r="304" spans="16:18">
      <c r="P304" s="116"/>
      <c r="Q304" s="117"/>
      <c r="R304" s="115"/>
    </row>
    <row r="305" spans="16:18">
      <c r="P305" s="16"/>
      <c r="Q305" s="114"/>
      <c r="R305" s="115"/>
    </row>
    <row r="306" spans="16:18">
      <c r="P306" s="116"/>
      <c r="Q306" s="117"/>
      <c r="R306" s="115"/>
    </row>
    <row r="307" spans="16:18">
      <c r="P307" s="16"/>
      <c r="Q307" s="114"/>
      <c r="R307" s="115"/>
    </row>
    <row r="308" spans="16:18">
      <c r="P308" s="116"/>
      <c r="Q308" s="117"/>
      <c r="R308" s="115"/>
    </row>
    <row r="309" spans="16:18">
      <c r="P309" s="16"/>
      <c r="Q309" s="114"/>
      <c r="R309" s="115"/>
    </row>
    <row r="310" spans="16:18">
      <c r="P310" s="116"/>
      <c r="Q310" s="117"/>
      <c r="R310" s="115"/>
    </row>
    <row r="311" spans="16:18">
      <c r="P311" s="16"/>
      <c r="Q311" s="114"/>
      <c r="R311" s="115"/>
    </row>
    <row r="312" spans="16:18">
      <c r="P312" s="116"/>
      <c r="Q312" s="117"/>
      <c r="R312" s="115"/>
    </row>
    <row r="313" spans="16:18">
      <c r="P313" s="16"/>
      <c r="Q313" s="114"/>
      <c r="R313" s="115"/>
    </row>
    <row r="314" spans="16:18">
      <c r="P314" s="116"/>
      <c r="Q314" s="117"/>
      <c r="R314" s="115"/>
    </row>
    <row r="315" spans="16:18">
      <c r="P315" s="16"/>
      <c r="Q315" s="114"/>
      <c r="R315" s="115"/>
    </row>
    <row r="316" spans="16:18">
      <c r="P316" s="116"/>
      <c r="Q316" s="117"/>
      <c r="R316" s="115"/>
    </row>
    <row r="317" spans="16:18">
      <c r="P317" s="16"/>
      <c r="Q317" s="114"/>
      <c r="R317" s="115"/>
    </row>
    <row r="318" spans="16:18">
      <c r="P318" s="116"/>
      <c r="Q318" s="117"/>
      <c r="R318" s="115"/>
    </row>
    <row r="319" spans="16:18">
      <c r="P319" s="16"/>
      <c r="Q319" s="114"/>
      <c r="R319" s="115"/>
    </row>
    <row r="320" spans="16:18">
      <c r="P320" s="116"/>
      <c r="Q320" s="117"/>
      <c r="R320" s="115"/>
    </row>
    <row r="321" spans="16:18">
      <c r="P321" s="16"/>
      <c r="Q321" s="114"/>
      <c r="R321" s="115"/>
    </row>
    <row r="322" spans="16:18">
      <c r="P322" s="116"/>
      <c r="Q322" s="117"/>
      <c r="R322" s="115"/>
    </row>
    <row r="323" spans="16:18">
      <c r="P323" s="16"/>
      <c r="Q323" s="114"/>
      <c r="R323" s="115"/>
    </row>
    <row r="324" spans="16:18">
      <c r="P324" s="116"/>
      <c r="Q324" s="117"/>
      <c r="R324" s="115"/>
    </row>
    <row r="325" spans="16:18">
      <c r="P325" s="16"/>
      <c r="Q325" s="114"/>
      <c r="R325" s="115"/>
    </row>
    <row r="326" spans="16:18">
      <c r="P326" s="116"/>
      <c r="Q326" s="117"/>
      <c r="R326" s="115"/>
    </row>
    <row r="327" spans="16:18">
      <c r="P327" s="16"/>
      <c r="Q327" s="114"/>
      <c r="R327" s="115"/>
    </row>
    <row r="328" spans="16:18">
      <c r="P328" s="116"/>
      <c r="Q328" s="117"/>
      <c r="R328" s="115"/>
    </row>
    <row r="329" spans="16:18">
      <c r="P329" s="16"/>
      <c r="Q329" s="114"/>
      <c r="R329" s="115"/>
    </row>
    <row r="330" spans="16:18">
      <c r="P330" s="116"/>
      <c r="Q330" s="117"/>
      <c r="R330" s="115"/>
    </row>
    <row r="331" spans="16:18">
      <c r="P331" s="16"/>
      <c r="Q331" s="114"/>
      <c r="R331" s="115"/>
    </row>
    <row r="332" spans="16:18">
      <c r="P332" s="116"/>
      <c r="Q332" s="117"/>
      <c r="R332" s="115"/>
    </row>
    <row r="333" spans="16:18">
      <c r="P333" s="16"/>
      <c r="Q333" s="114"/>
      <c r="R333" s="115"/>
    </row>
    <row r="334" spans="16:18">
      <c r="P334" s="116"/>
      <c r="Q334" s="117"/>
      <c r="R334" s="115"/>
    </row>
    <row r="335" spans="16:18">
      <c r="P335" s="16"/>
      <c r="Q335" s="114"/>
      <c r="R335" s="115"/>
    </row>
    <row r="336" spans="16:18">
      <c r="P336" s="116"/>
      <c r="Q336" s="117"/>
      <c r="R336" s="115"/>
    </row>
    <row r="337" spans="16:18">
      <c r="P337" s="16"/>
      <c r="Q337" s="114"/>
      <c r="R337" s="115"/>
    </row>
    <row r="338" spans="16:18">
      <c r="P338" s="116"/>
      <c r="Q338" s="117"/>
      <c r="R338" s="115"/>
    </row>
    <row r="339" spans="16:18">
      <c r="P339" s="16"/>
      <c r="Q339" s="114"/>
      <c r="R339" s="115"/>
    </row>
    <row r="340" spans="16:18">
      <c r="P340" s="116"/>
      <c r="Q340" s="117"/>
      <c r="R340" s="115"/>
    </row>
    <row r="341" spans="16:18">
      <c r="P341" s="16"/>
      <c r="Q341" s="114"/>
      <c r="R341" s="115"/>
    </row>
    <row r="342" spans="16:18">
      <c r="P342" s="116"/>
      <c r="Q342" s="117"/>
      <c r="R342" s="115"/>
    </row>
    <row r="343" spans="16:18">
      <c r="P343" s="16"/>
      <c r="Q343" s="114"/>
      <c r="R343" s="115"/>
    </row>
    <row r="344" spans="16:18">
      <c r="P344" s="116"/>
      <c r="Q344" s="117"/>
      <c r="R344" s="115"/>
    </row>
    <row r="345" spans="16:18">
      <c r="P345" s="16"/>
      <c r="Q345" s="114"/>
      <c r="R345" s="115"/>
    </row>
    <row r="346" spans="16:18">
      <c r="P346" s="116"/>
      <c r="Q346" s="117"/>
      <c r="R346" s="115"/>
    </row>
    <row r="347" spans="16:18">
      <c r="P347" s="16"/>
      <c r="Q347" s="114"/>
      <c r="R347" s="115"/>
    </row>
    <row r="348" spans="16:18">
      <c r="P348" s="116"/>
      <c r="Q348" s="117"/>
      <c r="R348" s="115"/>
    </row>
    <row r="349" spans="16:18">
      <c r="P349" s="16"/>
      <c r="Q349" s="114"/>
      <c r="R349" s="115"/>
    </row>
    <row r="350" spans="16:18">
      <c r="P350" s="116"/>
      <c r="Q350" s="117"/>
      <c r="R350" s="115"/>
    </row>
    <row r="351" spans="16:18">
      <c r="P351" s="16"/>
      <c r="Q351" s="114"/>
      <c r="R351" s="115"/>
    </row>
    <row r="352" spans="16:18">
      <c r="P352" s="116"/>
      <c r="Q352" s="117"/>
      <c r="R352" s="115"/>
    </row>
    <row r="353" spans="16:18">
      <c r="P353" s="16"/>
      <c r="Q353" s="114"/>
      <c r="R353" s="115"/>
    </row>
    <row r="354" spans="16:18">
      <c r="P354" s="116"/>
      <c r="Q354" s="117"/>
      <c r="R354" s="115"/>
    </row>
    <row r="355" spans="16:18">
      <c r="P355" s="16"/>
      <c r="Q355" s="114"/>
      <c r="R355" s="115"/>
    </row>
    <row r="356" spans="16:18">
      <c r="P356" s="116"/>
      <c r="Q356" s="117"/>
      <c r="R356" s="115"/>
    </row>
    <row r="357" spans="16:18">
      <c r="P357" s="16"/>
      <c r="Q357" s="114"/>
      <c r="R357" s="115"/>
    </row>
    <row r="358" spans="16:18">
      <c r="P358" s="116"/>
      <c r="Q358" s="117"/>
      <c r="R358" s="115"/>
    </row>
    <row r="359" spans="16:18">
      <c r="P359" s="16"/>
      <c r="Q359" s="114"/>
      <c r="R359" s="115"/>
    </row>
    <row r="360" spans="16:18">
      <c r="P360" s="116"/>
      <c r="Q360" s="117"/>
      <c r="R360" s="115"/>
    </row>
    <row r="361" spans="16:18">
      <c r="P361" s="16"/>
      <c r="Q361" s="114"/>
      <c r="R361" s="115"/>
    </row>
    <row r="362" spans="16:18">
      <c r="P362" s="116"/>
      <c r="Q362" s="117"/>
      <c r="R362" s="115"/>
    </row>
    <row r="363" spans="16:18">
      <c r="P363" s="16"/>
      <c r="Q363" s="114"/>
      <c r="R363" s="115"/>
    </row>
    <row r="364" spans="16:18">
      <c r="P364" s="116"/>
      <c r="Q364" s="117"/>
      <c r="R364" s="115"/>
    </row>
    <row r="365" spans="16:18">
      <c r="P365" s="16"/>
      <c r="Q365" s="114"/>
      <c r="R365" s="115"/>
    </row>
    <row r="366" spans="16:18">
      <c r="P366" s="116"/>
      <c r="Q366" s="117"/>
      <c r="R366" s="115"/>
    </row>
    <row r="367" spans="16:18">
      <c r="P367" s="16"/>
      <c r="Q367" s="114"/>
      <c r="R367" s="115"/>
    </row>
    <row r="368" spans="16:18">
      <c r="P368" s="116"/>
      <c r="Q368" s="117"/>
      <c r="R368" s="115"/>
    </row>
    <row r="369" spans="16:18">
      <c r="P369" s="16"/>
      <c r="Q369" s="114"/>
      <c r="R369" s="115"/>
    </row>
    <row r="370" spans="16:18">
      <c r="P370" s="116"/>
      <c r="Q370" s="117"/>
      <c r="R370" s="115"/>
    </row>
    <row r="371" spans="16:18">
      <c r="P371" s="16"/>
      <c r="Q371" s="114"/>
      <c r="R371" s="115"/>
    </row>
    <row r="372" spans="16:18">
      <c r="P372" s="116"/>
      <c r="Q372" s="117"/>
      <c r="R372" s="115"/>
    </row>
    <row r="373" spans="16:18">
      <c r="P373" s="16"/>
      <c r="Q373" s="114"/>
      <c r="R373" s="115"/>
    </row>
    <row r="374" spans="16:18">
      <c r="P374" s="116"/>
      <c r="Q374" s="117"/>
      <c r="R374" s="115"/>
    </row>
    <row r="375" spans="16:18">
      <c r="P375" s="16"/>
      <c r="Q375" s="114"/>
      <c r="R375" s="115"/>
    </row>
    <row r="376" spans="16:18">
      <c r="P376" s="116"/>
      <c r="Q376" s="117"/>
      <c r="R376" s="115"/>
    </row>
    <row r="377" spans="16:18">
      <c r="P377" s="16"/>
      <c r="Q377" s="114"/>
      <c r="R377" s="115"/>
    </row>
    <row r="378" spans="16:18">
      <c r="P378" s="116"/>
      <c r="Q378" s="117"/>
      <c r="R378" s="115"/>
    </row>
    <row r="379" spans="16:18">
      <c r="P379" s="16"/>
      <c r="Q379" s="114"/>
      <c r="R379" s="115"/>
    </row>
    <row r="380" spans="16:18">
      <c r="P380" s="116"/>
      <c r="Q380" s="117"/>
      <c r="R380" s="115"/>
    </row>
    <row r="381" spans="16:18">
      <c r="P381" s="16"/>
      <c r="Q381" s="114"/>
      <c r="R381" s="115"/>
    </row>
    <row r="382" spans="16:18">
      <c r="P382" s="116"/>
      <c r="Q382" s="117"/>
      <c r="R382" s="115"/>
    </row>
    <row r="383" spans="16:18">
      <c r="P383" s="16"/>
      <c r="Q383" s="114"/>
      <c r="R383" s="115"/>
    </row>
    <row r="384" spans="16:18">
      <c r="P384" s="116"/>
      <c r="Q384" s="117"/>
      <c r="R384" s="115"/>
    </row>
    <row r="385" spans="16:18">
      <c r="P385" s="16"/>
      <c r="Q385" s="114"/>
      <c r="R385" s="115"/>
    </row>
    <row r="386" spans="16:18">
      <c r="P386" s="116"/>
      <c r="Q386" s="117"/>
      <c r="R386" s="115"/>
    </row>
    <row r="387" spans="16:18">
      <c r="P387" s="16"/>
      <c r="Q387" s="114"/>
      <c r="R387" s="115"/>
    </row>
    <row r="388" spans="16:18">
      <c r="P388" s="116"/>
      <c r="Q388" s="117"/>
      <c r="R388" s="115"/>
    </row>
    <row r="389" spans="16:18">
      <c r="P389" s="16"/>
      <c r="Q389" s="114"/>
      <c r="R389" s="115"/>
    </row>
    <row r="390" spans="16:18">
      <c r="P390" s="116"/>
      <c r="Q390" s="117"/>
      <c r="R390" s="115"/>
    </row>
    <row r="391" spans="16:18">
      <c r="P391" s="16"/>
      <c r="Q391" s="114"/>
      <c r="R391" s="115"/>
    </row>
    <row r="392" spans="16:18">
      <c r="P392" s="116"/>
      <c r="Q392" s="117"/>
      <c r="R392" s="115"/>
    </row>
    <row r="393" spans="16:18">
      <c r="P393" s="16"/>
      <c r="Q393" s="114"/>
      <c r="R393" s="115"/>
    </row>
    <row r="394" spans="16:18">
      <c r="P394" s="116"/>
      <c r="Q394" s="117"/>
      <c r="R394" s="115"/>
    </row>
    <row r="395" spans="16:18">
      <c r="P395" s="16"/>
      <c r="Q395" s="114"/>
      <c r="R395" s="115"/>
    </row>
    <row r="396" spans="16:18">
      <c r="P396" s="116"/>
      <c r="Q396" s="117"/>
      <c r="R396" s="115"/>
    </row>
    <row r="397" spans="16:18">
      <c r="P397" s="16"/>
      <c r="Q397" s="114"/>
      <c r="R397" s="115"/>
    </row>
    <row r="398" spans="16:18">
      <c r="P398" s="116"/>
      <c r="Q398" s="117"/>
      <c r="R398" s="115"/>
    </row>
    <row r="399" spans="16:18">
      <c r="P399" s="16"/>
      <c r="Q399" s="114"/>
      <c r="R399" s="115"/>
    </row>
    <row r="400" spans="16:18">
      <c r="P400" s="116"/>
      <c r="Q400" s="117"/>
      <c r="R400" s="115"/>
    </row>
    <row r="401" spans="16:18">
      <c r="P401" s="16"/>
      <c r="Q401" s="114"/>
      <c r="R401" s="115"/>
    </row>
    <row r="402" spans="16:18">
      <c r="P402" s="116"/>
      <c r="Q402" s="117"/>
      <c r="R402" s="115"/>
    </row>
    <row r="403" spans="16:18">
      <c r="P403" s="16"/>
      <c r="Q403" s="114"/>
      <c r="R403" s="115"/>
    </row>
    <row r="404" spans="16:18">
      <c r="P404" s="116"/>
      <c r="Q404" s="117"/>
      <c r="R404" s="115"/>
    </row>
    <row r="405" spans="16:18">
      <c r="P405" s="16"/>
      <c r="Q405" s="114"/>
      <c r="R405" s="115"/>
    </row>
    <row r="406" spans="16:18">
      <c r="P406" s="116"/>
      <c r="Q406" s="117"/>
      <c r="R406" s="115"/>
    </row>
    <row r="407" spans="16:18">
      <c r="P407" s="16"/>
      <c r="Q407" s="114"/>
      <c r="R407" s="115"/>
    </row>
    <row r="408" spans="16:18">
      <c r="P408" s="116"/>
      <c r="Q408" s="117"/>
      <c r="R408" s="115"/>
    </row>
    <row r="409" spans="16:18">
      <c r="P409" s="16"/>
      <c r="Q409" s="114"/>
      <c r="R409" s="115"/>
    </row>
    <row r="410" spans="16:18">
      <c r="P410" s="116"/>
      <c r="Q410" s="117"/>
      <c r="R410" s="115"/>
    </row>
    <row r="411" spans="16:18">
      <c r="P411" s="16"/>
      <c r="Q411" s="114"/>
      <c r="R411" s="115"/>
    </row>
    <row r="412" spans="16:18">
      <c r="P412" s="116"/>
      <c r="Q412" s="117"/>
      <c r="R412" s="115"/>
    </row>
    <row r="413" spans="16:18">
      <c r="P413" s="16"/>
      <c r="Q413" s="114"/>
      <c r="R413" s="115"/>
    </row>
    <row r="414" spans="16:18">
      <c r="P414" s="116"/>
      <c r="Q414" s="117"/>
      <c r="R414" s="115"/>
    </row>
    <row r="415" spans="16:18">
      <c r="P415" s="16"/>
      <c r="Q415" s="114"/>
      <c r="R415" s="115"/>
    </row>
    <row r="416" spans="16:18">
      <c r="P416" s="116"/>
      <c r="Q416" s="117"/>
      <c r="R416" s="115"/>
    </row>
    <row r="417" spans="16:18">
      <c r="P417" s="16"/>
      <c r="Q417" s="114"/>
      <c r="R417" s="115"/>
    </row>
    <row r="418" spans="16:18">
      <c r="P418" s="116"/>
      <c r="Q418" s="117"/>
      <c r="R418" s="115"/>
    </row>
    <row r="419" spans="16:18">
      <c r="P419" s="16"/>
      <c r="Q419" s="114"/>
      <c r="R419" s="115"/>
    </row>
    <row r="420" spans="16:18">
      <c r="P420" s="116"/>
      <c r="Q420" s="117"/>
      <c r="R420" s="115"/>
    </row>
    <row r="421" spans="16:18">
      <c r="P421" s="16"/>
      <c r="Q421" s="114"/>
      <c r="R421" s="115"/>
    </row>
    <row r="422" spans="16:18">
      <c r="P422" s="116"/>
      <c r="Q422" s="117"/>
      <c r="R422" s="115"/>
    </row>
    <row r="423" spans="16:18">
      <c r="P423" s="16"/>
      <c r="Q423" s="114"/>
      <c r="R423" s="115"/>
    </row>
    <row r="424" spans="16:18">
      <c r="P424" s="116"/>
      <c r="Q424" s="117"/>
      <c r="R424" s="115"/>
    </row>
    <row r="425" spans="16:18">
      <c r="P425" s="16"/>
      <c r="Q425" s="114"/>
      <c r="R425" s="115"/>
    </row>
    <row r="426" spans="16:18">
      <c r="P426" s="116"/>
      <c r="Q426" s="117"/>
      <c r="R426" s="115"/>
    </row>
    <row r="427" spans="16:18">
      <c r="P427" s="16"/>
      <c r="Q427" s="114"/>
      <c r="R427" s="115"/>
    </row>
    <row r="428" spans="16:18">
      <c r="P428" s="116"/>
      <c r="Q428" s="117"/>
      <c r="R428" s="115"/>
    </row>
    <row r="429" spans="16:18">
      <c r="P429" s="16"/>
      <c r="Q429" s="114"/>
      <c r="R429" s="115"/>
    </row>
    <row r="430" spans="16:18">
      <c r="P430" s="116"/>
      <c r="Q430" s="117"/>
      <c r="R430" s="115"/>
    </row>
    <row r="431" spans="16:18">
      <c r="P431" s="16"/>
      <c r="Q431" s="114"/>
      <c r="R431" s="115"/>
    </row>
    <row r="432" spans="16:18">
      <c r="P432" s="116"/>
      <c r="Q432" s="117"/>
      <c r="R432" s="115"/>
    </row>
    <row r="433" spans="16:18">
      <c r="P433" s="16"/>
      <c r="Q433" s="114"/>
      <c r="R433" s="115"/>
    </row>
    <row r="434" spans="16:18">
      <c r="P434" s="116"/>
      <c r="Q434" s="117"/>
      <c r="R434" s="115"/>
    </row>
    <row r="435" spans="16:18">
      <c r="P435" s="16"/>
      <c r="Q435" s="114"/>
      <c r="R435" s="115"/>
    </row>
    <row r="436" spans="16:18">
      <c r="P436" s="116"/>
      <c r="Q436" s="117"/>
      <c r="R436" s="115"/>
    </row>
    <row r="437" spans="16:18">
      <c r="P437" s="16"/>
      <c r="Q437" s="114"/>
      <c r="R437" s="115"/>
    </row>
    <row r="438" spans="16:18">
      <c r="P438" s="116"/>
      <c r="Q438" s="117"/>
      <c r="R438" s="115"/>
    </row>
    <row r="439" spans="16:18">
      <c r="P439" s="16"/>
      <c r="Q439" s="114"/>
      <c r="R439" s="115"/>
    </row>
    <row r="440" spans="16:18">
      <c r="P440" s="116"/>
      <c r="Q440" s="117"/>
      <c r="R440" s="115"/>
    </row>
    <row r="441" spans="16:18">
      <c r="P441" s="16"/>
      <c r="Q441" s="114"/>
      <c r="R441" s="115"/>
    </row>
    <row r="442" spans="16:18">
      <c r="P442" s="116"/>
      <c r="Q442" s="117"/>
      <c r="R442" s="115"/>
    </row>
    <row r="443" spans="16:18">
      <c r="P443" s="16"/>
      <c r="Q443" s="114"/>
      <c r="R443" s="115"/>
    </row>
    <row r="444" spans="16:18">
      <c r="P444" s="116"/>
      <c r="Q444" s="117"/>
      <c r="R444" s="115"/>
    </row>
    <row r="445" spans="16:18">
      <c r="P445" s="16"/>
      <c r="Q445" s="114"/>
      <c r="R445" s="115"/>
    </row>
    <row r="446" spans="16:18">
      <c r="P446" s="116"/>
      <c r="Q446" s="117"/>
      <c r="R446" s="115"/>
    </row>
    <row r="447" spans="16:18">
      <c r="P447" s="16"/>
      <c r="Q447" s="114"/>
      <c r="R447" s="115"/>
    </row>
    <row r="448" spans="16:18">
      <c r="P448" s="116"/>
      <c r="Q448" s="117"/>
      <c r="R448" s="115"/>
    </row>
    <row r="449" spans="16:18">
      <c r="P449" s="16"/>
      <c r="Q449" s="114"/>
      <c r="R449" s="115"/>
    </row>
    <row r="450" spans="16:18">
      <c r="P450" s="116"/>
      <c r="Q450" s="117"/>
      <c r="R450" s="115"/>
    </row>
    <row r="451" spans="16:18">
      <c r="P451" s="16"/>
      <c r="Q451" s="114"/>
      <c r="R451" s="115"/>
    </row>
    <row r="452" spans="16:18">
      <c r="P452" s="116"/>
      <c r="Q452" s="117"/>
      <c r="R452" s="115"/>
    </row>
    <row r="453" spans="16:18">
      <c r="P453" s="16"/>
      <c r="Q453" s="114"/>
      <c r="R453" s="115"/>
    </row>
    <row r="454" spans="16:18">
      <c r="P454" s="116"/>
      <c r="Q454" s="117"/>
      <c r="R454" s="115"/>
    </row>
    <row r="455" spans="16:18">
      <c r="P455" s="16"/>
      <c r="Q455" s="114"/>
      <c r="R455" s="115"/>
    </row>
    <row r="456" spans="16:18">
      <c r="P456" s="116"/>
      <c r="Q456" s="117"/>
      <c r="R456" s="115"/>
    </row>
    <row r="457" spans="16:18">
      <c r="P457" s="16"/>
      <c r="Q457" s="114"/>
      <c r="R457" s="115"/>
    </row>
    <row r="458" spans="16:18">
      <c r="P458" s="116"/>
      <c r="Q458" s="117"/>
      <c r="R458" s="115"/>
    </row>
    <row r="459" spans="16:18">
      <c r="P459" s="16"/>
      <c r="Q459" s="114"/>
      <c r="R459" s="115"/>
    </row>
    <row r="460" spans="16:18">
      <c r="P460" s="116"/>
      <c r="Q460" s="117"/>
      <c r="R460" s="115"/>
    </row>
    <row r="461" spans="16:18">
      <c r="P461" s="16"/>
      <c r="Q461" s="114"/>
      <c r="R461" s="115"/>
    </row>
    <row r="462" spans="16:18">
      <c r="P462" s="116"/>
      <c r="Q462" s="117"/>
      <c r="R462" s="115"/>
    </row>
    <row r="463" spans="16:18">
      <c r="P463" s="16"/>
      <c r="Q463" s="114"/>
      <c r="R463" s="115"/>
    </row>
    <row r="464" spans="16:18">
      <c r="P464" s="116"/>
      <c r="Q464" s="117"/>
      <c r="R464" s="115"/>
    </row>
    <row r="465" spans="16:18">
      <c r="P465" s="16"/>
      <c r="Q465" s="114"/>
      <c r="R465" s="115"/>
    </row>
    <row r="466" spans="16:18">
      <c r="P466" s="116"/>
      <c r="Q466" s="117"/>
      <c r="R466" s="115"/>
    </row>
    <row r="467" spans="16:18">
      <c r="P467" s="16"/>
      <c r="Q467" s="114"/>
      <c r="R467" s="115"/>
    </row>
    <row r="468" spans="16:18">
      <c r="P468" s="116"/>
      <c r="Q468" s="117"/>
      <c r="R468" s="115"/>
    </row>
    <row r="469" spans="16:18">
      <c r="P469" s="16"/>
      <c r="Q469" s="114"/>
      <c r="R469" s="115"/>
    </row>
    <row r="470" spans="16:18">
      <c r="P470" s="116"/>
      <c r="Q470" s="117"/>
      <c r="R470" s="115"/>
    </row>
    <row r="471" spans="16:18">
      <c r="P471" s="16"/>
      <c r="Q471" s="114"/>
      <c r="R471" s="115"/>
    </row>
    <row r="472" spans="16:18">
      <c r="P472" s="116"/>
      <c r="Q472" s="117"/>
      <c r="R472" s="115"/>
    </row>
    <row r="473" spans="16:18">
      <c r="P473" s="16"/>
      <c r="Q473" s="114"/>
      <c r="R473" s="115"/>
    </row>
    <row r="474" spans="16:18">
      <c r="P474" s="116"/>
      <c r="Q474" s="117"/>
      <c r="R474" s="115"/>
    </row>
    <row r="475" spans="16:18">
      <c r="P475" s="16"/>
      <c r="Q475" s="114"/>
      <c r="R475" s="115"/>
    </row>
    <row r="476" spans="16:18">
      <c r="P476" s="116"/>
      <c r="Q476" s="117"/>
      <c r="R476" s="115"/>
    </row>
    <row r="477" spans="16:18">
      <c r="P477" s="16"/>
      <c r="Q477" s="114"/>
      <c r="R477" s="115"/>
    </row>
    <row r="478" spans="16:18">
      <c r="P478" s="116"/>
      <c r="Q478" s="117"/>
      <c r="R478" s="115"/>
    </row>
    <row r="479" spans="16:18">
      <c r="P479" s="16"/>
      <c r="Q479" s="114"/>
      <c r="R479" s="115"/>
    </row>
    <row r="480" spans="16:18">
      <c r="P480" s="116"/>
      <c r="Q480" s="117"/>
      <c r="R480" s="115"/>
    </row>
    <row r="481" spans="16:18">
      <c r="P481" s="16"/>
      <c r="Q481" s="114"/>
      <c r="R481" s="115"/>
    </row>
    <row r="482" spans="16:18">
      <c r="P482" s="116"/>
      <c r="Q482" s="117"/>
      <c r="R482" s="115"/>
    </row>
    <row r="483" spans="16:18">
      <c r="P483" s="16"/>
      <c r="Q483" s="114"/>
      <c r="R483" s="115"/>
    </row>
    <row r="484" spans="16:18">
      <c r="P484" s="116"/>
      <c r="Q484" s="117"/>
      <c r="R484" s="115"/>
    </row>
    <row r="485" spans="16:18">
      <c r="P485" s="16"/>
      <c r="Q485" s="114"/>
      <c r="R485" s="115"/>
    </row>
    <row r="486" spans="16:18">
      <c r="P486" s="116"/>
      <c r="Q486" s="117"/>
      <c r="R486" s="115"/>
    </row>
    <row r="487" spans="16:18">
      <c r="P487" s="16"/>
      <c r="Q487" s="114"/>
      <c r="R487" s="115"/>
    </row>
    <row r="488" spans="16:18">
      <c r="P488" s="116"/>
      <c r="Q488" s="117"/>
      <c r="R488" s="115"/>
    </row>
    <row r="489" spans="16:18">
      <c r="P489" s="16"/>
      <c r="Q489" s="114"/>
      <c r="R489" s="115"/>
    </row>
    <row r="490" spans="16:18">
      <c r="P490" s="116"/>
      <c r="Q490" s="117"/>
      <c r="R490" s="115"/>
    </row>
    <row r="491" spans="16:18">
      <c r="P491" s="16"/>
      <c r="Q491" s="114"/>
      <c r="R491" s="115"/>
    </row>
    <row r="492" spans="16:18">
      <c r="P492" s="116"/>
      <c r="Q492" s="117"/>
      <c r="R492" s="115"/>
    </row>
    <row r="493" spans="16:18">
      <c r="P493" s="16"/>
      <c r="Q493" s="114"/>
      <c r="R493" s="115"/>
    </row>
    <row r="494" spans="16:18">
      <c r="P494" s="116"/>
      <c r="Q494" s="117"/>
      <c r="R494" s="115"/>
    </row>
    <row r="495" spans="16:18">
      <c r="P495" s="16"/>
      <c r="Q495" s="114"/>
      <c r="R495" s="115"/>
    </row>
    <row r="496" spans="16:18">
      <c r="P496" s="116"/>
      <c r="Q496" s="117"/>
      <c r="R496" s="115"/>
    </row>
    <row r="497" spans="16:19">
      <c r="P497" s="16"/>
      <c r="Q497" s="114"/>
      <c r="R497" s="115"/>
    </row>
    <row r="498" spans="16:19">
      <c r="P498" s="116"/>
      <c r="Q498" s="117"/>
      <c r="R498" s="115"/>
    </row>
    <row r="499" spans="16:19">
      <c r="P499" s="16"/>
      <c r="Q499" s="114"/>
      <c r="R499" s="115"/>
    </row>
    <row r="500" spans="16:19">
      <c r="P500" s="116"/>
      <c r="Q500" s="117"/>
      <c r="R500" s="115"/>
    </row>
    <row r="501" spans="16:19">
      <c r="P501" s="16"/>
      <c r="Q501" s="114"/>
      <c r="R501" s="115"/>
      <c r="S501" s="88"/>
    </row>
    <row r="502" spans="16:19">
      <c r="P502" s="116"/>
      <c r="Q502" s="117"/>
      <c r="R502" s="115"/>
    </row>
    <row r="503" spans="16:19">
      <c r="P503" s="16"/>
      <c r="Q503" s="114"/>
      <c r="R503" s="115"/>
    </row>
  </sheetData>
  <mergeCells count="29">
    <mergeCell ref="I27:I28"/>
    <mergeCell ref="C27:C28"/>
    <mergeCell ref="D27:D28"/>
    <mergeCell ref="E27:E28"/>
    <mergeCell ref="G27:G28"/>
    <mergeCell ref="H27:H28"/>
    <mergeCell ref="T2:AE2"/>
    <mergeCell ref="C10:C11"/>
    <mergeCell ref="D10:D11"/>
    <mergeCell ref="E10:E11"/>
    <mergeCell ref="G10:G11"/>
    <mergeCell ref="H10:H11"/>
    <mergeCell ref="I10:I11"/>
    <mergeCell ref="M10:M11"/>
    <mergeCell ref="N10:N11"/>
    <mergeCell ref="A1:A24"/>
    <mergeCell ref="B1:J1"/>
    <mergeCell ref="K1:K24"/>
    <mergeCell ref="B2:J8"/>
    <mergeCell ref="P2:R2"/>
    <mergeCell ref="D18:F18"/>
    <mergeCell ref="D19:F19"/>
    <mergeCell ref="D20:F20"/>
    <mergeCell ref="M20:M21"/>
    <mergeCell ref="N20:N21"/>
    <mergeCell ref="D21:F21"/>
    <mergeCell ref="D22:F22"/>
    <mergeCell ref="D23:F23"/>
    <mergeCell ref="B24:J24"/>
  </mergeCells>
  <phoneticPr fontId="13"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5"/>
  <sheetViews>
    <sheetView tabSelected="1" zoomScale="85" zoomScaleNormal="85" workbookViewId="0">
      <selection activeCell="B31" sqref="B31"/>
    </sheetView>
  </sheetViews>
  <sheetFormatPr defaultColWidth="9.140625" defaultRowHeight="15.75"/>
  <cols>
    <col min="1" max="1" width="4.28515625" style="15" customWidth="1"/>
    <col min="2" max="6" width="13.7109375" style="15" customWidth="1"/>
    <col min="7" max="7" width="4.28515625" style="15" customWidth="1"/>
    <col min="8" max="8" width="1.7109375" style="15" customWidth="1"/>
    <col min="9" max="10" width="13" style="15" customWidth="1"/>
    <col min="11" max="11" width="1.7109375" style="15" customWidth="1"/>
    <col min="12" max="12" width="15.5703125" style="15" customWidth="1"/>
    <col min="13" max="13" width="13.28515625" style="15" customWidth="1"/>
    <col min="14" max="14" width="1.7109375" style="15" customWidth="1"/>
    <col min="15" max="16" width="9" style="16" customWidth="1"/>
    <col min="17" max="18" width="14.28515625" style="16" customWidth="1"/>
    <col min="19" max="19" width="1.7109375" style="15" customWidth="1"/>
    <col min="20" max="21" width="9" style="16" customWidth="1"/>
    <col min="22" max="23" width="14.28515625" style="16" customWidth="1"/>
    <col min="24" max="24" width="1.7109375" style="15" customWidth="1"/>
    <col min="25" max="26" width="9" style="16" customWidth="1"/>
    <col min="27" max="27" width="14.28515625" style="16" customWidth="1"/>
    <col min="28" max="28" width="14.28515625" style="118" customWidth="1"/>
    <col min="29" max="29" width="1.7109375" style="15" customWidth="1"/>
    <col min="30" max="31" width="9" style="16" customWidth="1"/>
    <col min="32" max="33" width="14.28515625" style="16" customWidth="1"/>
    <col min="34" max="34" width="1.7109375" style="15" customWidth="1"/>
    <col min="35" max="36" width="9" style="16" customWidth="1"/>
    <col min="37" max="38" width="14.28515625" style="16" customWidth="1"/>
    <col min="39" max="16384" width="9.140625" style="15"/>
  </cols>
  <sheetData>
    <row r="1" spans="1:38">
      <c r="A1" s="17"/>
      <c r="B1" s="17"/>
      <c r="C1" s="17"/>
      <c r="D1" s="17"/>
      <c r="E1" s="17"/>
      <c r="F1" s="17"/>
      <c r="G1" s="17"/>
    </row>
    <row r="2" spans="1:38" ht="15" customHeight="1">
      <c r="A2" s="17"/>
      <c r="B2" s="176" t="s">
        <v>89</v>
      </c>
      <c r="C2" s="176"/>
      <c r="D2" s="176"/>
      <c r="E2" s="176"/>
      <c r="F2" s="176"/>
      <c r="G2" s="119"/>
      <c r="L2" s="177" t="s">
        <v>90</v>
      </c>
      <c r="M2" s="177"/>
      <c r="O2" s="120" t="s">
        <v>91</v>
      </c>
      <c r="P2" s="121">
        <f>J5</f>
        <v>38</v>
      </c>
      <c r="Q2" s="178" t="s">
        <v>92</v>
      </c>
      <c r="R2" s="178"/>
      <c r="T2" s="120" t="s">
        <v>91</v>
      </c>
      <c r="U2" s="121">
        <f>J6</f>
        <v>45</v>
      </c>
      <c r="V2" s="178" t="s">
        <v>92</v>
      </c>
      <c r="W2" s="178"/>
      <c r="Y2" s="120" t="s">
        <v>91</v>
      </c>
      <c r="Z2" s="121">
        <f>J7</f>
        <v>52</v>
      </c>
      <c r="AA2" s="178" t="s">
        <v>92</v>
      </c>
      <c r="AB2" s="178"/>
      <c r="AD2" s="120" t="s">
        <v>91</v>
      </c>
      <c r="AE2" s="121">
        <f>J8</f>
        <v>59</v>
      </c>
      <c r="AF2" s="178" t="s">
        <v>92</v>
      </c>
      <c r="AG2" s="178"/>
      <c r="AI2" s="120" t="s">
        <v>91</v>
      </c>
      <c r="AJ2" s="121">
        <f>J9</f>
        <v>66</v>
      </c>
      <c r="AK2" s="178" t="s">
        <v>92</v>
      </c>
      <c r="AL2" s="178"/>
    </row>
    <row r="3" spans="1:38" ht="15" customHeight="1">
      <c r="A3" s="17"/>
      <c r="B3" s="176"/>
      <c r="C3" s="176"/>
      <c r="D3" s="176"/>
      <c r="E3" s="176"/>
      <c r="F3" s="176"/>
      <c r="G3" s="119"/>
      <c r="I3" s="179" t="s">
        <v>1</v>
      </c>
      <c r="J3" s="180" t="s">
        <v>2</v>
      </c>
      <c r="L3" s="181" t="s">
        <v>6</v>
      </c>
      <c r="M3" s="182" t="s">
        <v>93</v>
      </c>
      <c r="O3" s="183" t="s">
        <v>94</v>
      </c>
      <c r="P3" s="184" t="s">
        <v>2</v>
      </c>
      <c r="Q3" s="184" t="s">
        <v>95</v>
      </c>
      <c r="R3" s="185" t="s">
        <v>96</v>
      </c>
      <c r="T3" s="183" t="s">
        <v>94</v>
      </c>
      <c r="U3" s="184" t="s">
        <v>2</v>
      </c>
      <c r="V3" s="184" t="s">
        <v>95</v>
      </c>
      <c r="W3" s="185" t="s">
        <v>96</v>
      </c>
      <c r="Y3" s="183" t="s">
        <v>94</v>
      </c>
      <c r="Z3" s="184" t="s">
        <v>2</v>
      </c>
      <c r="AA3" s="184" t="s">
        <v>95</v>
      </c>
      <c r="AB3" s="186" t="s">
        <v>96</v>
      </c>
      <c r="AD3" s="183" t="s">
        <v>94</v>
      </c>
      <c r="AE3" s="184" t="s">
        <v>2</v>
      </c>
      <c r="AF3" s="184" t="s">
        <v>95</v>
      </c>
      <c r="AG3" s="185" t="s">
        <v>96</v>
      </c>
      <c r="AI3" s="183" t="s">
        <v>94</v>
      </c>
      <c r="AJ3" s="184" t="s">
        <v>2</v>
      </c>
      <c r="AK3" s="184" t="s">
        <v>95</v>
      </c>
      <c r="AL3" s="185" t="s">
        <v>96</v>
      </c>
    </row>
    <row r="4" spans="1:38" ht="16.5" customHeight="1">
      <c r="A4" s="17"/>
      <c r="B4" s="176"/>
      <c r="C4" s="176"/>
      <c r="D4" s="176"/>
      <c r="E4" s="176"/>
      <c r="F4" s="176"/>
      <c r="G4" s="119"/>
      <c r="I4" s="179"/>
      <c r="J4" s="179"/>
      <c r="L4" s="181"/>
      <c r="M4" s="182"/>
      <c r="O4" s="183"/>
      <c r="P4" s="184"/>
      <c r="Q4" s="184"/>
      <c r="R4" s="185"/>
      <c r="T4" s="183"/>
      <c r="U4" s="184"/>
      <c r="V4" s="184"/>
      <c r="W4" s="185"/>
      <c r="Y4" s="183"/>
      <c r="Z4" s="184"/>
      <c r="AA4" s="184"/>
      <c r="AB4" s="186"/>
      <c r="AD4" s="183"/>
      <c r="AE4" s="184"/>
      <c r="AF4" s="184"/>
      <c r="AG4" s="185"/>
      <c r="AI4" s="183"/>
      <c r="AJ4" s="184"/>
      <c r="AK4" s="184"/>
      <c r="AL4" s="185"/>
    </row>
    <row r="5" spans="1:38" ht="16.5" customHeight="1">
      <c r="A5" s="17"/>
      <c r="B5" s="38"/>
      <c r="C5" s="20"/>
      <c r="D5" s="20"/>
      <c r="E5" s="20"/>
      <c r="F5" s="122"/>
      <c r="G5" s="119"/>
      <c r="I5" s="123">
        <f>E8</f>
        <v>0</v>
      </c>
      <c r="J5" s="124">
        <f>C8</f>
        <v>38</v>
      </c>
      <c r="L5" s="25">
        <v>1</v>
      </c>
      <c r="M5" s="125">
        <f t="shared" ref="M5:M36" ca="1" si="0">RAND()</f>
        <v>0.11658387967047912</v>
      </c>
      <c r="O5" s="25">
        <v>1</v>
      </c>
      <c r="P5" s="126">
        <f t="shared" ref="P5:P36" ca="1" si="1">VLOOKUP(M5,$I$5:$J$9,2)</f>
        <v>45</v>
      </c>
      <c r="Q5" s="127">
        <f t="shared" ref="Q5:Q36" si="2">$J$5</f>
        <v>38</v>
      </c>
      <c r="R5" s="128">
        <f t="shared" ref="R5:R36" ca="1" si="3">MIN(P5:Q5)*$E$14-MAX(0,Q5-P5)*$E$15</f>
        <v>456</v>
      </c>
      <c r="T5" s="25">
        <v>1</v>
      </c>
      <c r="U5" s="126">
        <f t="shared" ref="U5:U36" ca="1" si="4">VLOOKUP(M5,$I$5:$J$9,2)</f>
        <v>45</v>
      </c>
      <c r="V5" s="127">
        <f t="shared" ref="V5:V36" si="5">$J$6</f>
        <v>45</v>
      </c>
      <c r="W5" s="128">
        <f t="shared" ref="W5:W36" ca="1" si="6">MIN(U5:V5)*$E$14-MAX(0,V5-U5)*$E$15</f>
        <v>540</v>
      </c>
      <c r="Y5" s="25">
        <v>1</v>
      </c>
      <c r="Z5" s="126">
        <f t="shared" ref="Z5:Z36" ca="1" si="7">VLOOKUP(M5,$I$5:$J$9,2)</f>
        <v>45</v>
      </c>
      <c r="AA5" s="127">
        <f t="shared" ref="AA5:AA36" si="8">$J$7</f>
        <v>52</v>
      </c>
      <c r="AB5" s="128">
        <f t="shared" ref="AB5:AB36" ca="1" si="9">MIN(Z5:AA5)*$E$14-MAX(0,AA5-Z5)*$E$15</f>
        <v>484</v>
      </c>
      <c r="AD5" s="25">
        <v>1</v>
      </c>
      <c r="AE5" s="126">
        <f t="shared" ref="AE5:AE36" ca="1" si="10">VLOOKUP(M5,$I$5:$J$9,2)</f>
        <v>45</v>
      </c>
      <c r="AF5" s="127">
        <f t="shared" ref="AF5:AF36" si="11">$J$8</f>
        <v>59</v>
      </c>
      <c r="AG5" s="128">
        <f t="shared" ref="AG5:AG36" ca="1" si="12">MIN(AE5:AF5)*$E$14-MAX(0,AF5-AE5)*$E$15</f>
        <v>428</v>
      </c>
      <c r="AI5" s="25">
        <v>1</v>
      </c>
      <c r="AJ5" s="126">
        <f t="shared" ref="AJ5:AJ36" ca="1" si="13">VLOOKUP(M5,$I$5:$J$9,2)</f>
        <v>45</v>
      </c>
      <c r="AK5" s="127">
        <f t="shared" ref="AK5:AK36" si="14">$J$9</f>
        <v>66</v>
      </c>
      <c r="AL5" s="128">
        <f t="shared" ref="AL5:AL36" ca="1" si="15">MIN(AJ5:AK5)*$E$14-MAX(0,AK5-AJ5)*$E$15</f>
        <v>372</v>
      </c>
    </row>
    <row r="6" spans="1:38" ht="15.75" customHeight="1">
      <c r="A6" s="17"/>
      <c r="B6" s="129" t="s">
        <v>80</v>
      </c>
      <c r="C6" s="13" t="s">
        <v>2</v>
      </c>
      <c r="D6" s="187" t="s">
        <v>35</v>
      </c>
      <c r="E6" s="11" t="s">
        <v>1</v>
      </c>
      <c r="F6" s="130"/>
      <c r="G6" s="131"/>
      <c r="I6" s="123">
        <f>E9</f>
        <v>0.1</v>
      </c>
      <c r="J6" s="124">
        <f>C9</f>
        <v>45</v>
      </c>
      <c r="L6" s="25">
        <v>2</v>
      </c>
      <c r="M6" s="125">
        <f t="shared" ca="1" si="0"/>
        <v>0.11155564757336767</v>
      </c>
      <c r="O6" s="25">
        <v>2</v>
      </c>
      <c r="P6" s="126">
        <f t="shared" ca="1" si="1"/>
        <v>45</v>
      </c>
      <c r="Q6" s="127">
        <f t="shared" si="2"/>
        <v>38</v>
      </c>
      <c r="R6" s="128">
        <f t="shared" ca="1" si="3"/>
        <v>456</v>
      </c>
      <c r="T6" s="25">
        <v>2</v>
      </c>
      <c r="U6" s="126">
        <f t="shared" ca="1" si="4"/>
        <v>45</v>
      </c>
      <c r="V6" s="127">
        <f t="shared" si="5"/>
        <v>45</v>
      </c>
      <c r="W6" s="128">
        <f t="shared" ca="1" si="6"/>
        <v>540</v>
      </c>
      <c r="Y6" s="25">
        <v>2</v>
      </c>
      <c r="Z6" s="126">
        <f t="shared" ca="1" si="7"/>
        <v>45</v>
      </c>
      <c r="AA6" s="127">
        <f t="shared" si="8"/>
        <v>52</v>
      </c>
      <c r="AB6" s="128">
        <f t="shared" ca="1" si="9"/>
        <v>484</v>
      </c>
      <c r="AD6" s="25">
        <v>2</v>
      </c>
      <c r="AE6" s="126">
        <f t="shared" ca="1" si="10"/>
        <v>45</v>
      </c>
      <c r="AF6" s="127">
        <f t="shared" si="11"/>
        <v>59</v>
      </c>
      <c r="AG6" s="128">
        <f t="shared" ca="1" si="12"/>
        <v>428</v>
      </c>
      <c r="AI6" s="25">
        <v>2</v>
      </c>
      <c r="AJ6" s="126">
        <f t="shared" ca="1" si="13"/>
        <v>45</v>
      </c>
      <c r="AK6" s="127">
        <f t="shared" si="14"/>
        <v>66</v>
      </c>
      <c r="AL6" s="128">
        <f t="shared" ca="1" si="15"/>
        <v>372</v>
      </c>
    </row>
    <row r="7" spans="1:38" ht="16.5" customHeight="1">
      <c r="A7" s="17"/>
      <c r="B7" s="130"/>
      <c r="C7" s="13"/>
      <c r="D7" s="187"/>
      <c r="E7" s="11"/>
      <c r="F7" s="130"/>
      <c r="G7" s="131"/>
      <c r="I7" s="123">
        <f>E10</f>
        <v>0.35</v>
      </c>
      <c r="J7" s="124">
        <f>C10</f>
        <v>52</v>
      </c>
      <c r="L7" s="25">
        <v>3</v>
      </c>
      <c r="M7" s="125">
        <f t="shared" ca="1" si="0"/>
        <v>0.80742518397356422</v>
      </c>
      <c r="O7" s="25">
        <v>3</v>
      </c>
      <c r="P7" s="126">
        <f t="shared" ca="1" si="1"/>
        <v>66</v>
      </c>
      <c r="Q7" s="127">
        <f t="shared" si="2"/>
        <v>38</v>
      </c>
      <c r="R7" s="128">
        <f t="shared" ca="1" si="3"/>
        <v>456</v>
      </c>
      <c r="T7" s="25">
        <v>3</v>
      </c>
      <c r="U7" s="126">
        <f t="shared" ca="1" si="4"/>
        <v>66</v>
      </c>
      <c r="V7" s="127">
        <f t="shared" si="5"/>
        <v>45</v>
      </c>
      <c r="W7" s="128">
        <f t="shared" ca="1" si="6"/>
        <v>540</v>
      </c>
      <c r="Y7" s="25">
        <v>3</v>
      </c>
      <c r="Z7" s="126">
        <f t="shared" ca="1" si="7"/>
        <v>66</v>
      </c>
      <c r="AA7" s="127">
        <f t="shared" si="8"/>
        <v>52</v>
      </c>
      <c r="AB7" s="128">
        <f t="shared" ca="1" si="9"/>
        <v>624</v>
      </c>
      <c r="AD7" s="25">
        <v>3</v>
      </c>
      <c r="AE7" s="126">
        <f t="shared" ca="1" si="10"/>
        <v>66</v>
      </c>
      <c r="AF7" s="127">
        <f t="shared" si="11"/>
        <v>59</v>
      </c>
      <c r="AG7" s="128">
        <f t="shared" ca="1" si="12"/>
        <v>708</v>
      </c>
      <c r="AI7" s="25">
        <v>3</v>
      </c>
      <c r="AJ7" s="126">
        <f t="shared" ca="1" si="13"/>
        <v>66</v>
      </c>
      <c r="AK7" s="127">
        <f t="shared" si="14"/>
        <v>66</v>
      </c>
      <c r="AL7" s="128">
        <f t="shared" ca="1" si="15"/>
        <v>792</v>
      </c>
    </row>
    <row r="8" spans="1:38" ht="16.5" customHeight="1">
      <c r="A8" s="17"/>
      <c r="B8" s="129">
        <f>C8*D8</f>
        <v>3.8000000000000003</v>
      </c>
      <c r="C8" s="132">
        <v>38</v>
      </c>
      <c r="D8" s="116">
        <v>0.1</v>
      </c>
      <c r="E8" s="133">
        <f>0</f>
        <v>0</v>
      </c>
      <c r="F8" s="130"/>
      <c r="G8" s="131"/>
      <c r="I8" s="123">
        <f>E11</f>
        <v>0.44999999999999996</v>
      </c>
      <c r="J8" s="124">
        <f>C11</f>
        <v>59</v>
      </c>
      <c r="L8" s="25">
        <v>4</v>
      </c>
      <c r="M8" s="125">
        <f t="shared" ca="1" si="0"/>
        <v>0.10568168156041724</v>
      </c>
      <c r="O8" s="25">
        <v>4</v>
      </c>
      <c r="P8" s="126">
        <f t="shared" ca="1" si="1"/>
        <v>45</v>
      </c>
      <c r="Q8" s="127">
        <f t="shared" si="2"/>
        <v>38</v>
      </c>
      <c r="R8" s="128">
        <f t="shared" ca="1" si="3"/>
        <v>456</v>
      </c>
      <c r="T8" s="25">
        <v>4</v>
      </c>
      <c r="U8" s="126">
        <f t="shared" ca="1" si="4"/>
        <v>45</v>
      </c>
      <c r="V8" s="127">
        <f t="shared" si="5"/>
        <v>45</v>
      </c>
      <c r="W8" s="128">
        <f t="shared" ca="1" si="6"/>
        <v>540</v>
      </c>
      <c r="Y8" s="25">
        <v>4</v>
      </c>
      <c r="Z8" s="126">
        <f t="shared" ca="1" si="7"/>
        <v>45</v>
      </c>
      <c r="AA8" s="127">
        <f t="shared" si="8"/>
        <v>52</v>
      </c>
      <c r="AB8" s="128">
        <f t="shared" ca="1" si="9"/>
        <v>484</v>
      </c>
      <c r="AD8" s="25">
        <v>4</v>
      </c>
      <c r="AE8" s="126">
        <f t="shared" ca="1" si="10"/>
        <v>45</v>
      </c>
      <c r="AF8" s="127">
        <f t="shared" si="11"/>
        <v>59</v>
      </c>
      <c r="AG8" s="128">
        <f t="shared" ca="1" si="12"/>
        <v>428</v>
      </c>
      <c r="AI8" s="25">
        <v>4</v>
      </c>
      <c r="AJ8" s="126">
        <f t="shared" ca="1" si="13"/>
        <v>45</v>
      </c>
      <c r="AK8" s="127">
        <f t="shared" si="14"/>
        <v>66</v>
      </c>
      <c r="AL8" s="128">
        <f t="shared" ca="1" si="15"/>
        <v>372</v>
      </c>
    </row>
    <row r="9" spans="1:38">
      <c r="A9" s="17"/>
      <c r="B9" s="129">
        <f>C9*D9</f>
        <v>11.25</v>
      </c>
      <c r="C9" s="132">
        <v>45</v>
      </c>
      <c r="D9" s="116">
        <v>0.25</v>
      </c>
      <c r="E9" s="133">
        <f>D8+E8</f>
        <v>0.1</v>
      </c>
      <c r="F9" s="130"/>
      <c r="G9" s="131"/>
      <c r="I9" s="134">
        <f>E12</f>
        <v>0.75</v>
      </c>
      <c r="J9" s="135">
        <f>C12</f>
        <v>66</v>
      </c>
      <c r="L9" s="25">
        <v>5</v>
      </c>
      <c r="M9" s="125">
        <f t="shared" ca="1" si="0"/>
        <v>2.8649812492948956E-2</v>
      </c>
      <c r="O9" s="25">
        <v>5</v>
      </c>
      <c r="P9" s="126">
        <f t="shared" ca="1" si="1"/>
        <v>38</v>
      </c>
      <c r="Q9" s="127">
        <f t="shared" si="2"/>
        <v>38</v>
      </c>
      <c r="R9" s="128">
        <f t="shared" ca="1" si="3"/>
        <v>456</v>
      </c>
      <c r="T9" s="25">
        <v>5</v>
      </c>
      <c r="U9" s="126">
        <f t="shared" ca="1" si="4"/>
        <v>38</v>
      </c>
      <c r="V9" s="127">
        <f t="shared" si="5"/>
        <v>45</v>
      </c>
      <c r="W9" s="128">
        <f t="shared" ca="1" si="6"/>
        <v>400</v>
      </c>
      <c r="Y9" s="25">
        <v>5</v>
      </c>
      <c r="Z9" s="126">
        <f t="shared" ca="1" si="7"/>
        <v>38</v>
      </c>
      <c r="AA9" s="127">
        <f t="shared" si="8"/>
        <v>52</v>
      </c>
      <c r="AB9" s="128">
        <f t="shared" ca="1" si="9"/>
        <v>344</v>
      </c>
      <c r="AD9" s="25">
        <v>5</v>
      </c>
      <c r="AE9" s="126">
        <f t="shared" ca="1" si="10"/>
        <v>38</v>
      </c>
      <c r="AF9" s="127">
        <f t="shared" si="11"/>
        <v>59</v>
      </c>
      <c r="AG9" s="128">
        <f t="shared" ca="1" si="12"/>
        <v>288</v>
      </c>
      <c r="AI9" s="25">
        <v>5</v>
      </c>
      <c r="AJ9" s="126">
        <f t="shared" ca="1" si="13"/>
        <v>38</v>
      </c>
      <c r="AK9" s="127">
        <f t="shared" si="14"/>
        <v>66</v>
      </c>
      <c r="AL9" s="128">
        <f t="shared" ca="1" si="15"/>
        <v>232</v>
      </c>
    </row>
    <row r="10" spans="1:38">
      <c r="A10" s="17"/>
      <c r="B10" s="129">
        <f>C10*D10</f>
        <v>5.2</v>
      </c>
      <c r="C10" s="132">
        <v>52</v>
      </c>
      <c r="D10" s="116">
        <v>0.1</v>
      </c>
      <c r="E10" s="133">
        <f>D9+E9</f>
        <v>0.35</v>
      </c>
      <c r="F10" s="130"/>
      <c r="G10" s="131"/>
      <c r="L10" s="25">
        <v>6</v>
      </c>
      <c r="M10" s="125">
        <f t="shared" ca="1" si="0"/>
        <v>0.90364715483575286</v>
      </c>
      <c r="O10" s="25">
        <v>6</v>
      </c>
      <c r="P10" s="126">
        <f t="shared" ca="1" si="1"/>
        <v>66</v>
      </c>
      <c r="Q10" s="127">
        <f t="shared" si="2"/>
        <v>38</v>
      </c>
      <c r="R10" s="128">
        <f t="shared" ca="1" si="3"/>
        <v>456</v>
      </c>
      <c r="T10" s="25">
        <v>6</v>
      </c>
      <c r="U10" s="126">
        <f t="shared" ca="1" si="4"/>
        <v>66</v>
      </c>
      <c r="V10" s="127">
        <f t="shared" si="5"/>
        <v>45</v>
      </c>
      <c r="W10" s="128">
        <f t="shared" ca="1" si="6"/>
        <v>540</v>
      </c>
      <c r="Y10" s="25">
        <v>6</v>
      </c>
      <c r="Z10" s="126">
        <f t="shared" ca="1" si="7"/>
        <v>66</v>
      </c>
      <c r="AA10" s="127">
        <f t="shared" si="8"/>
        <v>52</v>
      </c>
      <c r="AB10" s="128">
        <f t="shared" ca="1" si="9"/>
        <v>624</v>
      </c>
      <c r="AD10" s="25">
        <v>6</v>
      </c>
      <c r="AE10" s="126">
        <f t="shared" ca="1" si="10"/>
        <v>66</v>
      </c>
      <c r="AF10" s="127">
        <f t="shared" si="11"/>
        <v>59</v>
      </c>
      <c r="AG10" s="128">
        <f t="shared" ca="1" si="12"/>
        <v>708</v>
      </c>
      <c r="AI10" s="25">
        <v>6</v>
      </c>
      <c r="AJ10" s="126">
        <f t="shared" ca="1" si="13"/>
        <v>66</v>
      </c>
      <c r="AK10" s="127">
        <f t="shared" si="14"/>
        <v>66</v>
      </c>
      <c r="AL10" s="128">
        <f t="shared" ca="1" si="15"/>
        <v>792</v>
      </c>
    </row>
    <row r="11" spans="1:38">
      <c r="A11" s="17"/>
      <c r="B11" s="129">
        <f>C11*D11</f>
        <v>17.7</v>
      </c>
      <c r="C11" s="132">
        <v>59</v>
      </c>
      <c r="D11" s="116">
        <v>0.3</v>
      </c>
      <c r="E11" s="133">
        <f>D10+E10</f>
        <v>0.44999999999999996</v>
      </c>
      <c r="F11" s="130"/>
      <c r="G11" s="131"/>
      <c r="L11" s="25">
        <v>7</v>
      </c>
      <c r="M11" s="125">
        <f t="shared" ca="1" si="0"/>
        <v>0.17117379875403593</v>
      </c>
      <c r="O11" s="25">
        <v>7</v>
      </c>
      <c r="P11" s="126">
        <f t="shared" ca="1" si="1"/>
        <v>45</v>
      </c>
      <c r="Q11" s="127">
        <f t="shared" si="2"/>
        <v>38</v>
      </c>
      <c r="R11" s="128">
        <f t="shared" ca="1" si="3"/>
        <v>456</v>
      </c>
      <c r="T11" s="25">
        <v>7</v>
      </c>
      <c r="U11" s="126">
        <f t="shared" ca="1" si="4"/>
        <v>45</v>
      </c>
      <c r="V11" s="127">
        <f t="shared" si="5"/>
        <v>45</v>
      </c>
      <c r="W11" s="128">
        <f t="shared" ca="1" si="6"/>
        <v>540</v>
      </c>
      <c r="Y11" s="25">
        <v>7</v>
      </c>
      <c r="Z11" s="126">
        <f t="shared" ca="1" si="7"/>
        <v>45</v>
      </c>
      <c r="AA11" s="127">
        <f t="shared" si="8"/>
        <v>52</v>
      </c>
      <c r="AB11" s="128">
        <f t="shared" ca="1" si="9"/>
        <v>484</v>
      </c>
      <c r="AD11" s="25">
        <v>7</v>
      </c>
      <c r="AE11" s="126">
        <f t="shared" ca="1" si="10"/>
        <v>45</v>
      </c>
      <c r="AF11" s="127">
        <f t="shared" si="11"/>
        <v>59</v>
      </c>
      <c r="AG11" s="128">
        <f t="shared" ca="1" si="12"/>
        <v>428</v>
      </c>
      <c r="AI11" s="25">
        <v>7</v>
      </c>
      <c r="AJ11" s="126">
        <f t="shared" ca="1" si="13"/>
        <v>45</v>
      </c>
      <c r="AK11" s="127">
        <f t="shared" si="14"/>
        <v>66</v>
      </c>
      <c r="AL11" s="128">
        <f t="shared" ca="1" si="15"/>
        <v>372</v>
      </c>
    </row>
    <row r="12" spans="1:38">
      <c r="A12" s="17"/>
      <c r="B12" s="129">
        <f>C12*D12</f>
        <v>16.5</v>
      </c>
      <c r="C12" s="136">
        <v>66</v>
      </c>
      <c r="D12" s="137">
        <v>0.25</v>
      </c>
      <c r="E12" s="138">
        <f>D11+E11</f>
        <v>0.75</v>
      </c>
      <c r="F12" s="130"/>
      <c r="G12" s="131"/>
      <c r="L12" s="25">
        <v>8</v>
      </c>
      <c r="M12" s="125">
        <f t="shared" ca="1" si="0"/>
        <v>0.81140021323291622</v>
      </c>
      <c r="O12" s="25">
        <v>8</v>
      </c>
      <c r="P12" s="126">
        <f t="shared" ca="1" si="1"/>
        <v>66</v>
      </c>
      <c r="Q12" s="127">
        <f t="shared" si="2"/>
        <v>38</v>
      </c>
      <c r="R12" s="128">
        <f t="shared" ca="1" si="3"/>
        <v>456</v>
      </c>
      <c r="T12" s="25">
        <v>8</v>
      </c>
      <c r="U12" s="126">
        <f t="shared" ca="1" si="4"/>
        <v>66</v>
      </c>
      <c r="V12" s="127">
        <f t="shared" si="5"/>
        <v>45</v>
      </c>
      <c r="W12" s="128">
        <f t="shared" ca="1" si="6"/>
        <v>540</v>
      </c>
      <c r="Y12" s="25">
        <v>8</v>
      </c>
      <c r="Z12" s="126">
        <f t="shared" ca="1" si="7"/>
        <v>66</v>
      </c>
      <c r="AA12" s="127">
        <f t="shared" si="8"/>
        <v>52</v>
      </c>
      <c r="AB12" s="128">
        <f t="shared" ca="1" si="9"/>
        <v>624</v>
      </c>
      <c r="AD12" s="25">
        <v>8</v>
      </c>
      <c r="AE12" s="126">
        <f t="shared" ca="1" si="10"/>
        <v>66</v>
      </c>
      <c r="AF12" s="127">
        <f t="shared" si="11"/>
        <v>59</v>
      </c>
      <c r="AG12" s="128">
        <f t="shared" ca="1" si="12"/>
        <v>708</v>
      </c>
      <c r="AI12" s="25">
        <v>8</v>
      </c>
      <c r="AJ12" s="126">
        <f t="shared" ca="1" si="13"/>
        <v>66</v>
      </c>
      <c r="AK12" s="127">
        <f t="shared" si="14"/>
        <v>66</v>
      </c>
      <c r="AL12" s="128">
        <f t="shared" ca="1" si="15"/>
        <v>792</v>
      </c>
    </row>
    <row r="13" spans="1:38">
      <c r="A13" s="17"/>
      <c r="B13" s="139">
        <f>SUM(B8:B12)</f>
        <v>54.45</v>
      </c>
      <c r="F13" s="50"/>
      <c r="G13" s="17"/>
      <c r="L13" s="25">
        <v>9</v>
      </c>
      <c r="M13" s="125">
        <f t="shared" ca="1" si="0"/>
        <v>0.31929530099837966</v>
      </c>
      <c r="O13" s="25">
        <v>9</v>
      </c>
      <c r="P13" s="126">
        <f t="shared" ca="1" si="1"/>
        <v>45</v>
      </c>
      <c r="Q13" s="127">
        <f t="shared" si="2"/>
        <v>38</v>
      </c>
      <c r="R13" s="128">
        <f t="shared" ca="1" si="3"/>
        <v>456</v>
      </c>
      <c r="T13" s="25">
        <v>9</v>
      </c>
      <c r="U13" s="126">
        <f t="shared" ca="1" si="4"/>
        <v>45</v>
      </c>
      <c r="V13" s="127">
        <f t="shared" si="5"/>
        <v>45</v>
      </c>
      <c r="W13" s="128">
        <f t="shared" ca="1" si="6"/>
        <v>540</v>
      </c>
      <c r="Y13" s="25">
        <v>9</v>
      </c>
      <c r="Z13" s="126">
        <f t="shared" ca="1" si="7"/>
        <v>45</v>
      </c>
      <c r="AA13" s="127">
        <f t="shared" si="8"/>
        <v>52</v>
      </c>
      <c r="AB13" s="128">
        <f t="shared" ca="1" si="9"/>
        <v>484</v>
      </c>
      <c r="AD13" s="25">
        <v>9</v>
      </c>
      <c r="AE13" s="126">
        <f t="shared" ca="1" si="10"/>
        <v>45</v>
      </c>
      <c r="AF13" s="127">
        <f t="shared" si="11"/>
        <v>59</v>
      </c>
      <c r="AG13" s="128">
        <f t="shared" ca="1" si="12"/>
        <v>428</v>
      </c>
      <c r="AI13" s="25">
        <v>9</v>
      </c>
      <c r="AJ13" s="126">
        <f t="shared" ca="1" si="13"/>
        <v>45</v>
      </c>
      <c r="AK13" s="127">
        <f t="shared" si="14"/>
        <v>66</v>
      </c>
      <c r="AL13" s="128">
        <f t="shared" ca="1" si="15"/>
        <v>372</v>
      </c>
    </row>
    <row r="14" spans="1:38">
      <c r="A14" s="17"/>
      <c r="B14" s="103"/>
      <c r="C14" s="188" t="s">
        <v>97</v>
      </c>
      <c r="D14" s="188"/>
      <c r="E14" s="140">
        <v>12</v>
      </c>
      <c r="F14" s="50"/>
      <c r="G14" s="17"/>
      <c r="L14" s="25">
        <v>10</v>
      </c>
      <c r="M14" s="125">
        <f t="shared" ca="1" si="0"/>
        <v>0.22276484409364727</v>
      </c>
      <c r="O14" s="25">
        <v>10</v>
      </c>
      <c r="P14" s="126">
        <f t="shared" ca="1" si="1"/>
        <v>45</v>
      </c>
      <c r="Q14" s="127">
        <f t="shared" si="2"/>
        <v>38</v>
      </c>
      <c r="R14" s="128">
        <f t="shared" ca="1" si="3"/>
        <v>456</v>
      </c>
      <c r="T14" s="25">
        <v>10</v>
      </c>
      <c r="U14" s="126">
        <f t="shared" ca="1" si="4"/>
        <v>45</v>
      </c>
      <c r="V14" s="127">
        <f t="shared" si="5"/>
        <v>45</v>
      </c>
      <c r="W14" s="128">
        <f t="shared" ca="1" si="6"/>
        <v>540</v>
      </c>
      <c r="Y14" s="25">
        <v>10</v>
      </c>
      <c r="Z14" s="126">
        <f t="shared" ca="1" si="7"/>
        <v>45</v>
      </c>
      <c r="AA14" s="127">
        <f t="shared" si="8"/>
        <v>52</v>
      </c>
      <c r="AB14" s="128">
        <f t="shared" ca="1" si="9"/>
        <v>484</v>
      </c>
      <c r="AD14" s="25">
        <v>10</v>
      </c>
      <c r="AE14" s="126">
        <f t="shared" ca="1" si="10"/>
        <v>45</v>
      </c>
      <c r="AF14" s="127">
        <f t="shared" si="11"/>
        <v>59</v>
      </c>
      <c r="AG14" s="128">
        <f t="shared" ca="1" si="12"/>
        <v>428</v>
      </c>
      <c r="AI14" s="25">
        <v>10</v>
      </c>
      <c r="AJ14" s="126">
        <f t="shared" ca="1" si="13"/>
        <v>45</v>
      </c>
      <c r="AK14" s="127">
        <f t="shared" si="14"/>
        <v>66</v>
      </c>
      <c r="AL14" s="128">
        <f t="shared" ca="1" si="15"/>
        <v>372</v>
      </c>
    </row>
    <row r="15" spans="1:38">
      <c r="A15" s="17"/>
      <c r="B15" s="103"/>
      <c r="C15" s="189" t="s">
        <v>98</v>
      </c>
      <c r="D15" s="189"/>
      <c r="E15" s="141">
        <v>8</v>
      </c>
      <c r="F15" s="50"/>
      <c r="G15" s="17"/>
      <c r="L15" s="25">
        <v>11</v>
      </c>
      <c r="M15" s="125">
        <f t="shared" ca="1" si="0"/>
        <v>0.39411310466968641</v>
      </c>
      <c r="O15" s="25">
        <v>11</v>
      </c>
      <c r="P15" s="126">
        <f t="shared" ca="1" si="1"/>
        <v>52</v>
      </c>
      <c r="Q15" s="127">
        <f t="shared" si="2"/>
        <v>38</v>
      </c>
      <c r="R15" s="128">
        <f t="shared" ca="1" si="3"/>
        <v>456</v>
      </c>
      <c r="T15" s="25">
        <v>11</v>
      </c>
      <c r="U15" s="126">
        <f t="shared" ca="1" si="4"/>
        <v>52</v>
      </c>
      <c r="V15" s="127">
        <f t="shared" si="5"/>
        <v>45</v>
      </c>
      <c r="W15" s="128">
        <f t="shared" ca="1" si="6"/>
        <v>540</v>
      </c>
      <c r="Y15" s="25">
        <v>11</v>
      </c>
      <c r="Z15" s="126">
        <f t="shared" ca="1" si="7"/>
        <v>52</v>
      </c>
      <c r="AA15" s="127">
        <f t="shared" si="8"/>
        <v>52</v>
      </c>
      <c r="AB15" s="128">
        <f t="shared" ca="1" si="9"/>
        <v>624</v>
      </c>
      <c r="AD15" s="25">
        <v>11</v>
      </c>
      <c r="AE15" s="126">
        <f t="shared" ca="1" si="10"/>
        <v>52</v>
      </c>
      <c r="AF15" s="127">
        <f t="shared" si="11"/>
        <v>59</v>
      </c>
      <c r="AG15" s="128">
        <f t="shared" ca="1" si="12"/>
        <v>568</v>
      </c>
      <c r="AI15" s="25">
        <v>11</v>
      </c>
      <c r="AJ15" s="126">
        <f t="shared" ca="1" si="13"/>
        <v>52</v>
      </c>
      <c r="AK15" s="127">
        <f t="shared" si="14"/>
        <v>66</v>
      </c>
      <c r="AL15" s="128">
        <f t="shared" ca="1" si="15"/>
        <v>512</v>
      </c>
    </row>
    <row r="16" spans="1:38">
      <c r="A16" s="17"/>
      <c r="B16" s="17"/>
      <c r="C16" s="17"/>
      <c r="D16" s="17"/>
      <c r="E16" s="17"/>
      <c r="F16" s="17"/>
      <c r="G16" s="17"/>
      <c r="L16" s="25">
        <v>12</v>
      </c>
      <c r="M16" s="125">
        <f t="shared" ca="1" si="0"/>
        <v>0.9185934044183216</v>
      </c>
      <c r="O16" s="25">
        <v>12</v>
      </c>
      <c r="P16" s="126">
        <f t="shared" ca="1" si="1"/>
        <v>66</v>
      </c>
      <c r="Q16" s="127">
        <f t="shared" si="2"/>
        <v>38</v>
      </c>
      <c r="R16" s="128">
        <f t="shared" ca="1" si="3"/>
        <v>456</v>
      </c>
      <c r="T16" s="25">
        <v>12</v>
      </c>
      <c r="U16" s="126">
        <f t="shared" ca="1" si="4"/>
        <v>66</v>
      </c>
      <c r="V16" s="127">
        <f t="shared" si="5"/>
        <v>45</v>
      </c>
      <c r="W16" s="128">
        <f t="shared" ca="1" si="6"/>
        <v>540</v>
      </c>
      <c r="Y16" s="25">
        <v>12</v>
      </c>
      <c r="Z16" s="126">
        <f t="shared" ca="1" si="7"/>
        <v>66</v>
      </c>
      <c r="AA16" s="127">
        <f t="shared" si="8"/>
        <v>52</v>
      </c>
      <c r="AB16" s="128">
        <f t="shared" ca="1" si="9"/>
        <v>624</v>
      </c>
      <c r="AD16" s="25">
        <v>12</v>
      </c>
      <c r="AE16" s="126">
        <f t="shared" ca="1" si="10"/>
        <v>66</v>
      </c>
      <c r="AF16" s="127">
        <f t="shared" si="11"/>
        <v>59</v>
      </c>
      <c r="AG16" s="128">
        <f t="shared" ca="1" si="12"/>
        <v>708</v>
      </c>
      <c r="AI16" s="25">
        <v>12</v>
      </c>
      <c r="AJ16" s="126">
        <f t="shared" ca="1" si="13"/>
        <v>66</v>
      </c>
      <c r="AK16" s="127">
        <f t="shared" si="14"/>
        <v>66</v>
      </c>
      <c r="AL16" s="128">
        <f t="shared" ca="1" si="15"/>
        <v>792</v>
      </c>
    </row>
    <row r="17" spans="2:38">
      <c r="L17" s="25">
        <v>13</v>
      </c>
      <c r="M17" s="125">
        <f t="shared" ca="1" si="0"/>
        <v>0.20335815251148237</v>
      </c>
      <c r="O17" s="25">
        <v>13</v>
      </c>
      <c r="P17" s="126">
        <f t="shared" ca="1" si="1"/>
        <v>45</v>
      </c>
      <c r="Q17" s="127">
        <f t="shared" si="2"/>
        <v>38</v>
      </c>
      <c r="R17" s="128">
        <f t="shared" ca="1" si="3"/>
        <v>456</v>
      </c>
      <c r="T17" s="25">
        <v>13</v>
      </c>
      <c r="U17" s="126">
        <f t="shared" ca="1" si="4"/>
        <v>45</v>
      </c>
      <c r="V17" s="127">
        <f t="shared" si="5"/>
        <v>45</v>
      </c>
      <c r="W17" s="128">
        <f t="shared" ca="1" si="6"/>
        <v>540</v>
      </c>
      <c r="Y17" s="25">
        <v>13</v>
      </c>
      <c r="Z17" s="126">
        <f t="shared" ca="1" si="7"/>
        <v>45</v>
      </c>
      <c r="AA17" s="127">
        <f t="shared" si="8"/>
        <v>52</v>
      </c>
      <c r="AB17" s="128">
        <f t="shared" ca="1" si="9"/>
        <v>484</v>
      </c>
      <c r="AD17" s="25">
        <v>13</v>
      </c>
      <c r="AE17" s="126">
        <f t="shared" ca="1" si="10"/>
        <v>45</v>
      </c>
      <c r="AF17" s="127">
        <f t="shared" si="11"/>
        <v>59</v>
      </c>
      <c r="AG17" s="128">
        <f t="shared" ca="1" si="12"/>
        <v>428</v>
      </c>
      <c r="AI17" s="25">
        <v>13</v>
      </c>
      <c r="AJ17" s="126">
        <f t="shared" ca="1" si="13"/>
        <v>45</v>
      </c>
      <c r="AK17" s="127">
        <f t="shared" si="14"/>
        <v>66</v>
      </c>
      <c r="AL17" s="128">
        <f t="shared" ca="1" si="15"/>
        <v>372</v>
      </c>
    </row>
    <row r="18" spans="2:38" ht="16.5" customHeight="1">
      <c r="C18" s="37" t="s">
        <v>95</v>
      </c>
      <c r="D18" s="142" t="s">
        <v>99</v>
      </c>
      <c r="L18" s="25">
        <v>14</v>
      </c>
      <c r="M18" s="125">
        <f t="shared" ca="1" si="0"/>
        <v>0.15995502213100632</v>
      </c>
      <c r="O18" s="25">
        <v>14</v>
      </c>
      <c r="P18" s="126">
        <f t="shared" ca="1" si="1"/>
        <v>45</v>
      </c>
      <c r="Q18" s="127">
        <f t="shared" si="2"/>
        <v>38</v>
      </c>
      <c r="R18" s="128">
        <f t="shared" ca="1" si="3"/>
        <v>456</v>
      </c>
      <c r="T18" s="25">
        <v>14</v>
      </c>
      <c r="U18" s="126">
        <f t="shared" ca="1" si="4"/>
        <v>45</v>
      </c>
      <c r="V18" s="127">
        <f t="shared" si="5"/>
        <v>45</v>
      </c>
      <c r="W18" s="128">
        <f t="shared" ca="1" si="6"/>
        <v>540</v>
      </c>
      <c r="Y18" s="25">
        <v>14</v>
      </c>
      <c r="Z18" s="126">
        <f t="shared" ca="1" si="7"/>
        <v>45</v>
      </c>
      <c r="AA18" s="127">
        <f t="shared" si="8"/>
        <v>52</v>
      </c>
      <c r="AB18" s="128">
        <f t="shared" ca="1" si="9"/>
        <v>484</v>
      </c>
      <c r="AD18" s="25">
        <v>14</v>
      </c>
      <c r="AE18" s="126">
        <f t="shared" ca="1" si="10"/>
        <v>45</v>
      </c>
      <c r="AF18" s="127">
        <f t="shared" si="11"/>
        <v>59</v>
      </c>
      <c r="AG18" s="128">
        <f t="shared" ca="1" si="12"/>
        <v>428</v>
      </c>
      <c r="AI18" s="25">
        <v>14</v>
      </c>
      <c r="AJ18" s="126">
        <f t="shared" ca="1" si="13"/>
        <v>45</v>
      </c>
      <c r="AK18" s="127">
        <f t="shared" si="14"/>
        <v>66</v>
      </c>
      <c r="AL18" s="128">
        <f t="shared" ca="1" si="15"/>
        <v>372</v>
      </c>
    </row>
    <row r="19" spans="2:38" ht="16.5" customHeight="1">
      <c r="C19" s="143">
        <f>J5</f>
        <v>38</v>
      </c>
      <c r="D19" s="144">
        <f ca="1">R105</f>
        <v>456</v>
      </c>
      <c r="L19" s="25">
        <v>15</v>
      </c>
      <c r="M19" s="125">
        <f t="shared" ca="1" si="0"/>
        <v>0.79529029588781885</v>
      </c>
      <c r="O19" s="25">
        <v>15</v>
      </c>
      <c r="P19" s="126">
        <f t="shared" ca="1" si="1"/>
        <v>66</v>
      </c>
      <c r="Q19" s="127">
        <f t="shared" si="2"/>
        <v>38</v>
      </c>
      <c r="R19" s="128">
        <f t="shared" ca="1" si="3"/>
        <v>456</v>
      </c>
      <c r="T19" s="25">
        <v>15</v>
      </c>
      <c r="U19" s="126">
        <f t="shared" ca="1" si="4"/>
        <v>66</v>
      </c>
      <c r="V19" s="127">
        <f t="shared" si="5"/>
        <v>45</v>
      </c>
      <c r="W19" s="128">
        <f t="shared" ca="1" si="6"/>
        <v>540</v>
      </c>
      <c r="Y19" s="25">
        <v>15</v>
      </c>
      <c r="Z19" s="126">
        <f t="shared" ca="1" si="7"/>
        <v>66</v>
      </c>
      <c r="AA19" s="127">
        <f t="shared" si="8"/>
        <v>52</v>
      </c>
      <c r="AB19" s="128">
        <f t="shared" ca="1" si="9"/>
        <v>624</v>
      </c>
      <c r="AD19" s="25">
        <v>15</v>
      </c>
      <c r="AE19" s="126">
        <f t="shared" ca="1" si="10"/>
        <v>66</v>
      </c>
      <c r="AF19" s="127">
        <f t="shared" si="11"/>
        <v>59</v>
      </c>
      <c r="AG19" s="128">
        <f t="shared" ca="1" si="12"/>
        <v>708</v>
      </c>
      <c r="AI19" s="25">
        <v>15</v>
      </c>
      <c r="AJ19" s="126">
        <f t="shared" ca="1" si="13"/>
        <v>66</v>
      </c>
      <c r="AK19" s="127">
        <f t="shared" si="14"/>
        <v>66</v>
      </c>
      <c r="AL19" s="128">
        <f t="shared" ca="1" si="15"/>
        <v>792</v>
      </c>
    </row>
    <row r="20" spans="2:38">
      <c r="C20" s="143">
        <f>J6</f>
        <v>45</v>
      </c>
      <c r="D20" s="144">
        <f ca="1">W105</f>
        <v>520.4</v>
      </c>
      <c r="L20" s="25">
        <v>16</v>
      </c>
      <c r="M20" s="125">
        <f t="shared" ca="1" si="0"/>
        <v>0.34673312164613868</v>
      </c>
      <c r="O20" s="25">
        <v>16</v>
      </c>
      <c r="P20" s="126">
        <f t="shared" ca="1" si="1"/>
        <v>45</v>
      </c>
      <c r="Q20" s="127">
        <f t="shared" si="2"/>
        <v>38</v>
      </c>
      <c r="R20" s="128">
        <f t="shared" ca="1" si="3"/>
        <v>456</v>
      </c>
      <c r="T20" s="25">
        <v>16</v>
      </c>
      <c r="U20" s="126">
        <f t="shared" ca="1" si="4"/>
        <v>45</v>
      </c>
      <c r="V20" s="127">
        <f t="shared" si="5"/>
        <v>45</v>
      </c>
      <c r="W20" s="128">
        <f t="shared" ca="1" si="6"/>
        <v>540</v>
      </c>
      <c r="Y20" s="25">
        <v>16</v>
      </c>
      <c r="Z20" s="126">
        <f t="shared" ca="1" si="7"/>
        <v>45</v>
      </c>
      <c r="AA20" s="127">
        <f t="shared" si="8"/>
        <v>52</v>
      </c>
      <c r="AB20" s="128">
        <f t="shared" ca="1" si="9"/>
        <v>484</v>
      </c>
      <c r="AD20" s="25">
        <v>16</v>
      </c>
      <c r="AE20" s="126">
        <f t="shared" ca="1" si="10"/>
        <v>45</v>
      </c>
      <c r="AF20" s="127">
        <f t="shared" si="11"/>
        <v>59</v>
      </c>
      <c r="AG20" s="128">
        <f t="shared" ca="1" si="12"/>
        <v>428</v>
      </c>
      <c r="AI20" s="25">
        <v>16</v>
      </c>
      <c r="AJ20" s="126">
        <f t="shared" ca="1" si="13"/>
        <v>45</v>
      </c>
      <c r="AK20" s="127">
        <f t="shared" si="14"/>
        <v>66</v>
      </c>
      <c r="AL20" s="128">
        <f t="shared" ca="1" si="15"/>
        <v>372</v>
      </c>
    </row>
    <row r="21" spans="2:38">
      <c r="C21" s="143">
        <f>J7</f>
        <v>52</v>
      </c>
      <c r="D21" s="144">
        <f ca="1">AB105</f>
        <v>534.4</v>
      </c>
      <c r="L21" s="25">
        <v>17</v>
      </c>
      <c r="M21" s="125">
        <f t="shared" ca="1" si="0"/>
        <v>5.6364950770817712E-2</v>
      </c>
      <c r="O21" s="25">
        <v>17</v>
      </c>
      <c r="P21" s="126">
        <f t="shared" ca="1" si="1"/>
        <v>38</v>
      </c>
      <c r="Q21" s="127">
        <f t="shared" si="2"/>
        <v>38</v>
      </c>
      <c r="R21" s="128">
        <f t="shared" ca="1" si="3"/>
        <v>456</v>
      </c>
      <c r="T21" s="25">
        <v>17</v>
      </c>
      <c r="U21" s="126">
        <f t="shared" ca="1" si="4"/>
        <v>38</v>
      </c>
      <c r="V21" s="127">
        <f t="shared" si="5"/>
        <v>45</v>
      </c>
      <c r="W21" s="128">
        <f t="shared" ca="1" si="6"/>
        <v>400</v>
      </c>
      <c r="Y21" s="25">
        <v>17</v>
      </c>
      <c r="Z21" s="126">
        <f t="shared" ca="1" si="7"/>
        <v>38</v>
      </c>
      <c r="AA21" s="127">
        <f t="shared" si="8"/>
        <v>52</v>
      </c>
      <c r="AB21" s="128">
        <f t="shared" ca="1" si="9"/>
        <v>344</v>
      </c>
      <c r="AD21" s="25">
        <v>17</v>
      </c>
      <c r="AE21" s="126">
        <f t="shared" ca="1" si="10"/>
        <v>38</v>
      </c>
      <c r="AF21" s="127">
        <f t="shared" si="11"/>
        <v>59</v>
      </c>
      <c r="AG21" s="128">
        <f t="shared" ca="1" si="12"/>
        <v>288</v>
      </c>
      <c r="AI21" s="25">
        <v>17</v>
      </c>
      <c r="AJ21" s="126">
        <f t="shared" ca="1" si="13"/>
        <v>38</v>
      </c>
      <c r="AK21" s="127">
        <f t="shared" si="14"/>
        <v>66</v>
      </c>
      <c r="AL21" s="128">
        <f t="shared" ca="1" si="15"/>
        <v>232</v>
      </c>
    </row>
    <row r="22" spans="2:38">
      <c r="C22" s="143">
        <f>J8</f>
        <v>59</v>
      </c>
      <c r="D22" s="144">
        <f ca="1">AG105</f>
        <v>541.4</v>
      </c>
      <c r="L22" s="25">
        <v>18</v>
      </c>
      <c r="M22" s="125">
        <f t="shared" ca="1" si="0"/>
        <v>0.32353634742754089</v>
      </c>
      <c r="O22" s="25">
        <v>18</v>
      </c>
      <c r="P22" s="126">
        <f t="shared" ca="1" si="1"/>
        <v>45</v>
      </c>
      <c r="Q22" s="127">
        <f t="shared" si="2"/>
        <v>38</v>
      </c>
      <c r="R22" s="128">
        <f t="shared" ca="1" si="3"/>
        <v>456</v>
      </c>
      <c r="T22" s="25">
        <v>18</v>
      </c>
      <c r="U22" s="126">
        <f t="shared" ca="1" si="4"/>
        <v>45</v>
      </c>
      <c r="V22" s="127">
        <f t="shared" si="5"/>
        <v>45</v>
      </c>
      <c r="W22" s="128">
        <f t="shared" ca="1" si="6"/>
        <v>540</v>
      </c>
      <c r="Y22" s="25">
        <v>18</v>
      </c>
      <c r="Z22" s="126">
        <f t="shared" ca="1" si="7"/>
        <v>45</v>
      </c>
      <c r="AA22" s="127">
        <f t="shared" si="8"/>
        <v>52</v>
      </c>
      <c r="AB22" s="128">
        <f t="shared" ca="1" si="9"/>
        <v>484</v>
      </c>
      <c r="AD22" s="25">
        <v>18</v>
      </c>
      <c r="AE22" s="126">
        <f t="shared" ca="1" si="10"/>
        <v>45</v>
      </c>
      <c r="AF22" s="127">
        <f t="shared" si="11"/>
        <v>59</v>
      </c>
      <c r="AG22" s="128">
        <f t="shared" ca="1" si="12"/>
        <v>428</v>
      </c>
      <c r="AI22" s="25">
        <v>18</v>
      </c>
      <c r="AJ22" s="126">
        <f t="shared" ca="1" si="13"/>
        <v>45</v>
      </c>
      <c r="AK22" s="127">
        <f t="shared" si="14"/>
        <v>66</v>
      </c>
      <c r="AL22" s="128">
        <f t="shared" ca="1" si="15"/>
        <v>372</v>
      </c>
    </row>
    <row r="23" spans="2:38">
      <c r="C23" s="145">
        <f>J9</f>
        <v>66</v>
      </c>
      <c r="D23" s="146">
        <f ca="1">AL105</f>
        <v>523.20000000000005</v>
      </c>
      <c r="L23" s="25">
        <v>19</v>
      </c>
      <c r="M23" s="125">
        <f t="shared" ca="1" si="0"/>
        <v>0.1250046455580025</v>
      </c>
      <c r="O23" s="25">
        <v>19</v>
      </c>
      <c r="P23" s="126">
        <f t="shared" ca="1" si="1"/>
        <v>45</v>
      </c>
      <c r="Q23" s="127">
        <f t="shared" si="2"/>
        <v>38</v>
      </c>
      <c r="R23" s="128">
        <f t="shared" ca="1" si="3"/>
        <v>456</v>
      </c>
      <c r="T23" s="25">
        <v>19</v>
      </c>
      <c r="U23" s="126">
        <f t="shared" ca="1" si="4"/>
        <v>45</v>
      </c>
      <c r="V23" s="127">
        <f t="shared" si="5"/>
        <v>45</v>
      </c>
      <c r="W23" s="128">
        <f t="shared" ca="1" si="6"/>
        <v>540</v>
      </c>
      <c r="Y23" s="25">
        <v>19</v>
      </c>
      <c r="Z23" s="126">
        <f t="shared" ca="1" si="7"/>
        <v>45</v>
      </c>
      <c r="AA23" s="127">
        <f t="shared" si="8"/>
        <v>52</v>
      </c>
      <c r="AB23" s="128">
        <f t="shared" ca="1" si="9"/>
        <v>484</v>
      </c>
      <c r="AD23" s="25">
        <v>19</v>
      </c>
      <c r="AE23" s="126">
        <f t="shared" ca="1" si="10"/>
        <v>45</v>
      </c>
      <c r="AF23" s="127">
        <f t="shared" si="11"/>
        <v>59</v>
      </c>
      <c r="AG23" s="128">
        <f t="shared" ca="1" si="12"/>
        <v>428</v>
      </c>
      <c r="AI23" s="25">
        <v>19</v>
      </c>
      <c r="AJ23" s="126">
        <f t="shared" ca="1" si="13"/>
        <v>45</v>
      </c>
      <c r="AK23" s="127">
        <f t="shared" si="14"/>
        <v>66</v>
      </c>
      <c r="AL23" s="128">
        <f t="shared" ca="1" si="15"/>
        <v>372</v>
      </c>
    </row>
    <row r="24" spans="2:38">
      <c r="E24" s="15" t="s">
        <v>100</v>
      </c>
      <c r="L24" s="25">
        <v>20</v>
      </c>
      <c r="M24" s="125">
        <f t="shared" ca="1" si="0"/>
        <v>0.102361559495181</v>
      </c>
      <c r="O24" s="25">
        <v>20</v>
      </c>
      <c r="P24" s="126">
        <f t="shared" ca="1" si="1"/>
        <v>45</v>
      </c>
      <c r="Q24" s="127">
        <f t="shared" si="2"/>
        <v>38</v>
      </c>
      <c r="R24" s="128">
        <f t="shared" ca="1" si="3"/>
        <v>456</v>
      </c>
      <c r="T24" s="25">
        <v>20</v>
      </c>
      <c r="U24" s="126">
        <f t="shared" ca="1" si="4"/>
        <v>45</v>
      </c>
      <c r="V24" s="127">
        <f t="shared" si="5"/>
        <v>45</v>
      </c>
      <c r="W24" s="128">
        <f t="shared" ca="1" si="6"/>
        <v>540</v>
      </c>
      <c r="Y24" s="25">
        <v>20</v>
      </c>
      <c r="Z24" s="126">
        <f t="shared" ca="1" si="7"/>
        <v>45</v>
      </c>
      <c r="AA24" s="127">
        <f t="shared" si="8"/>
        <v>52</v>
      </c>
      <c r="AB24" s="128">
        <f t="shared" ca="1" si="9"/>
        <v>484</v>
      </c>
      <c r="AD24" s="25">
        <v>20</v>
      </c>
      <c r="AE24" s="126">
        <f t="shared" ca="1" si="10"/>
        <v>45</v>
      </c>
      <c r="AF24" s="127">
        <f t="shared" si="11"/>
        <v>59</v>
      </c>
      <c r="AG24" s="128">
        <f t="shared" ca="1" si="12"/>
        <v>428</v>
      </c>
      <c r="AI24" s="25">
        <v>20</v>
      </c>
      <c r="AJ24" s="126">
        <f t="shared" ca="1" si="13"/>
        <v>45</v>
      </c>
      <c r="AK24" s="127">
        <f t="shared" si="14"/>
        <v>66</v>
      </c>
      <c r="AL24" s="128">
        <f t="shared" ca="1" si="15"/>
        <v>372</v>
      </c>
    </row>
    <row r="25" spans="2:38">
      <c r="C25" s="190" t="s">
        <v>101</v>
      </c>
      <c r="D25" s="190"/>
      <c r="E25" s="147">
        <f ca="1">MAX(D19:D23)</f>
        <v>541.4</v>
      </c>
      <c r="L25" s="25">
        <v>21</v>
      </c>
      <c r="M25" s="125">
        <f t="shared" ca="1" si="0"/>
        <v>0.64933715759145172</v>
      </c>
      <c r="O25" s="25">
        <v>21</v>
      </c>
      <c r="P25" s="126">
        <f t="shared" ca="1" si="1"/>
        <v>59</v>
      </c>
      <c r="Q25" s="127">
        <f t="shared" si="2"/>
        <v>38</v>
      </c>
      <c r="R25" s="128">
        <f t="shared" ca="1" si="3"/>
        <v>456</v>
      </c>
      <c r="T25" s="25">
        <v>21</v>
      </c>
      <c r="U25" s="126">
        <f t="shared" ca="1" si="4"/>
        <v>59</v>
      </c>
      <c r="V25" s="127">
        <f t="shared" si="5"/>
        <v>45</v>
      </c>
      <c r="W25" s="128">
        <f t="shared" ca="1" si="6"/>
        <v>540</v>
      </c>
      <c r="Y25" s="25">
        <v>21</v>
      </c>
      <c r="Z25" s="126">
        <f t="shared" ca="1" si="7"/>
        <v>59</v>
      </c>
      <c r="AA25" s="127">
        <f t="shared" si="8"/>
        <v>52</v>
      </c>
      <c r="AB25" s="128">
        <f t="shared" ca="1" si="9"/>
        <v>624</v>
      </c>
      <c r="AD25" s="25">
        <v>21</v>
      </c>
      <c r="AE25" s="126">
        <f t="shared" ca="1" si="10"/>
        <v>59</v>
      </c>
      <c r="AF25" s="127">
        <f t="shared" si="11"/>
        <v>59</v>
      </c>
      <c r="AG25" s="128">
        <f t="shared" ca="1" si="12"/>
        <v>708</v>
      </c>
      <c r="AI25" s="25">
        <v>21</v>
      </c>
      <c r="AJ25" s="126">
        <f t="shared" ca="1" si="13"/>
        <v>59</v>
      </c>
      <c r="AK25" s="127">
        <f t="shared" si="14"/>
        <v>66</v>
      </c>
      <c r="AL25" s="128">
        <f t="shared" ca="1" si="15"/>
        <v>652</v>
      </c>
    </row>
    <row r="26" spans="2:38">
      <c r="C26" s="190" t="s">
        <v>102</v>
      </c>
      <c r="D26" s="190"/>
      <c r="E26" s="148">
        <f ca="1">INDEX(C19:C23,MATCH(E25,D19:D23,0),1)</f>
        <v>59</v>
      </c>
      <c r="L26" s="25">
        <v>22</v>
      </c>
      <c r="M26" s="125">
        <f t="shared" ca="1" si="0"/>
        <v>0.47151592953469412</v>
      </c>
      <c r="O26" s="25">
        <v>22</v>
      </c>
      <c r="P26" s="126">
        <f t="shared" ca="1" si="1"/>
        <v>59</v>
      </c>
      <c r="Q26" s="127">
        <f t="shared" si="2"/>
        <v>38</v>
      </c>
      <c r="R26" s="128">
        <f t="shared" ca="1" si="3"/>
        <v>456</v>
      </c>
      <c r="T26" s="25">
        <v>22</v>
      </c>
      <c r="U26" s="126">
        <f t="shared" ca="1" si="4"/>
        <v>59</v>
      </c>
      <c r="V26" s="127">
        <f t="shared" si="5"/>
        <v>45</v>
      </c>
      <c r="W26" s="128">
        <f t="shared" ca="1" si="6"/>
        <v>540</v>
      </c>
      <c r="Y26" s="25">
        <v>22</v>
      </c>
      <c r="Z26" s="126">
        <f t="shared" ca="1" si="7"/>
        <v>59</v>
      </c>
      <c r="AA26" s="127">
        <f t="shared" si="8"/>
        <v>52</v>
      </c>
      <c r="AB26" s="128">
        <f t="shared" ca="1" si="9"/>
        <v>624</v>
      </c>
      <c r="AD26" s="25">
        <v>22</v>
      </c>
      <c r="AE26" s="126">
        <f t="shared" ca="1" si="10"/>
        <v>59</v>
      </c>
      <c r="AF26" s="127">
        <f t="shared" si="11"/>
        <v>59</v>
      </c>
      <c r="AG26" s="128">
        <f t="shared" ca="1" si="12"/>
        <v>708</v>
      </c>
      <c r="AI26" s="25">
        <v>22</v>
      </c>
      <c r="AJ26" s="126">
        <f t="shared" ca="1" si="13"/>
        <v>59</v>
      </c>
      <c r="AK26" s="127">
        <f t="shared" si="14"/>
        <v>66</v>
      </c>
      <c r="AL26" s="128">
        <f t="shared" ca="1" si="15"/>
        <v>652</v>
      </c>
    </row>
    <row r="27" spans="2:38">
      <c r="B27" s="63"/>
      <c r="C27" s="63"/>
      <c r="D27" s="63"/>
      <c r="E27" s="63"/>
      <c r="F27" s="63"/>
      <c r="L27" s="25">
        <v>23</v>
      </c>
      <c r="M27" s="125">
        <f t="shared" ca="1" si="0"/>
        <v>0.8826974993969221</v>
      </c>
      <c r="O27" s="25">
        <v>23</v>
      </c>
      <c r="P27" s="126">
        <f t="shared" ca="1" si="1"/>
        <v>66</v>
      </c>
      <c r="Q27" s="127">
        <f t="shared" si="2"/>
        <v>38</v>
      </c>
      <c r="R27" s="128">
        <f t="shared" ca="1" si="3"/>
        <v>456</v>
      </c>
      <c r="T27" s="25">
        <v>23</v>
      </c>
      <c r="U27" s="126">
        <f t="shared" ca="1" si="4"/>
        <v>66</v>
      </c>
      <c r="V27" s="127">
        <f t="shared" si="5"/>
        <v>45</v>
      </c>
      <c r="W27" s="128">
        <f t="shared" ca="1" si="6"/>
        <v>540</v>
      </c>
      <c r="Y27" s="25">
        <v>23</v>
      </c>
      <c r="Z27" s="126">
        <f t="shared" ca="1" si="7"/>
        <v>66</v>
      </c>
      <c r="AA27" s="127">
        <f t="shared" si="8"/>
        <v>52</v>
      </c>
      <c r="AB27" s="128">
        <f t="shared" ca="1" si="9"/>
        <v>624</v>
      </c>
      <c r="AD27" s="25">
        <v>23</v>
      </c>
      <c r="AE27" s="126">
        <f t="shared" ca="1" si="10"/>
        <v>66</v>
      </c>
      <c r="AF27" s="127">
        <f t="shared" si="11"/>
        <v>59</v>
      </c>
      <c r="AG27" s="128">
        <f t="shared" ca="1" si="12"/>
        <v>708</v>
      </c>
      <c r="AI27" s="25">
        <v>23</v>
      </c>
      <c r="AJ27" s="126">
        <f t="shared" ca="1" si="13"/>
        <v>66</v>
      </c>
      <c r="AK27" s="127">
        <f t="shared" si="14"/>
        <v>66</v>
      </c>
      <c r="AL27" s="128">
        <f t="shared" ca="1" si="15"/>
        <v>792</v>
      </c>
    </row>
    <row r="28" spans="2:38">
      <c r="B28" s="62"/>
      <c r="C28" s="62"/>
      <c r="D28" s="62"/>
      <c r="E28" s="62"/>
      <c r="F28" s="62"/>
      <c r="L28" s="25">
        <v>24</v>
      </c>
      <c r="M28" s="125">
        <f t="shared" ca="1" si="0"/>
        <v>0.99461238854599054</v>
      </c>
      <c r="O28" s="25">
        <v>24</v>
      </c>
      <c r="P28" s="126">
        <f t="shared" ca="1" si="1"/>
        <v>66</v>
      </c>
      <c r="Q28" s="127">
        <f t="shared" si="2"/>
        <v>38</v>
      </c>
      <c r="R28" s="128">
        <f t="shared" ca="1" si="3"/>
        <v>456</v>
      </c>
      <c r="T28" s="25">
        <v>24</v>
      </c>
      <c r="U28" s="126">
        <f t="shared" ca="1" si="4"/>
        <v>66</v>
      </c>
      <c r="V28" s="127">
        <f t="shared" si="5"/>
        <v>45</v>
      </c>
      <c r="W28" s="128">
        <f t="shared" ca="1" si="6"/>
        <v>540</v>
      </c>
      <c r="Y28" s="25">
        <v>24</v>
      </c>
      <c r="Z28" s="126">
        <f t="shared" ca="1" si="7"/>
        <v>66</v>
      </c>
      <c r="AA28" s="127">
        <f t="shared" si="8"/>
        <v>52</v>
      </c>
      <c r="AB28" s="128">
        <f t="shared" ca="1" si="9"/>
        <v>624</v>
      </c>
      <c r="AD28" s="25">
        <v>24</v>
      </c>
      <c r="AE28" s="126">
        <f t="shared" ca="1" si="10"/>
        <v>66</v>
      </c>
      <c r="AF28" s="127">
        <f t="shared" si="11"/>
        <v>59</v>
      </c>
      <c r="AG28" s="128">
        <f t="shared" ca="1" si="12"/>
        <v>708</v>
      </c>
      <c r="AI28" s="25">
        <v>24</v>
      </c>
      <c r="AJ28" s="126">
        <f t="shared" ca="1" si="13"/>
        <v>66</v>
      </c>
      <c r="AK28" s="127">
        <f t="shared" si="14"/>
        <v>66</v>
      </c>
      <c r="AL28" s="128">
        <f t="shared" ca="1" si="15"/>
        <v>792</v>
      </c>
    </row>
    <row r="29" spans="2:38">
      <c r="B29" s="62"/>
      <c r="C29" s="62"/>
      <c r="D29" s="62"/>
      <c r="E29" s="62"/>
      <c r="F29" s="62"/>
      <c r="L29" s="25">
        <v>25</v>
      </c>
      <c r="M29" s="125">
        <f t="shared" ca="1" si="0"/>
        <v>0.91066815308705129</v>
      </c>
      <c r="O29" s="25">
        <v>25</v>
      </c>
      <c r="P29" s="126">
        <f t="shared" ca="1" si="1"/>
        <v>66</v>
      </c>
      <c r="Q29" s="127">
        <f t="shared" si="2"/>
        <v>38</v>
      </c>
      <c r="R29" s="128">
        <f t="shared" ca="1" si="3"/>
        <v>456</v>
      </c>
      <c r="T29" s="25">
        <v>25</v>
      </c>
      <c r="U29" s="126">
        <f t="shared" ca="1" si="4"/>
        <v>66</v>
      </c>
      <c r="V29" s="127">
        <f t="shared" si="5"/>
        <v>45</v>
      </c>
      <c r="W29" s="128">
        <f t="shared" ca="1" si="6"/>
        <v>540</v>
      </c>
      <c r="Y29" s="25">
        <v>25</v>
      </c>
      <c r="Z29" s="126">
        <f t="shared" ca="1" si="7"/>
        <v>66</v>
      </c>
      <c r="AA29" s="127">
        <f t="shared" si="8"/>
        <v>52</v>
      </c>
      <c r="AB29" s="128">
        <f t="shared" ca="1" si="9"/>
        <v>624</v>
      </c>
      <c r="AD29" s="25">
        <v>25</v>
      </c>
      <c r="AE29" s="126">
        <f t="shared" ca="1" si="10"/>
        <v>66</v>
      </c>
      <c r="AF29" s="127">
        <f t="shared" si="11"/>
        <v>59</v>
      </c>
      <c r="AG29" s="128">
        <f t="shared" ca="1" si="12"/>
        <v>708</v>
      </c>
      <c r="AI29" s="25">
        <v>25</v>
      </c>
      <c r="AJ29" s="126">
        <f t="shared" ca="1" si="13"/>
        <v>66</v>
      </c>
      <c r="AK29" s="127">
        <f t="shared" si="14"/>
        <v>66</v>
      </c>
      <c r="AL29" s="128">
        <f t="shared" ca="1" si="15"/>
        <v>792</v>
      </c>
    </row>
    <row r="30" spans="2:38">
      <c r="L30" s="25">
        <v>26</v>
      </c>
      <c r="M30" s="125">
        <f t="shared" ca="1" si="0"/>
        <v>0.8034362432303489</v>
      </c>
      <c r="O30" s="25">
        <v>26</v>
      </c>
      <c r="P30" s="126">
        <f t="shared" ca="1" si="1"/>
        <v>66</v>
      </c>
      <c r="Q30" s="127">
        <f t="shared" si="2"/>
        <v>38</v>
      </c>
      <c r="R30" s="128">
        <f t="shared" ca="1" si="3"/>
        <v>456</v>
      </c>
      <c r="T30" s="25">
        <v>26</v>
      </c>
      <c r="U30" s="126">
        <f t="shared" ca="1" si="4"/>
        <v>66</v>
      </c>
      <c r="V30" s="127">
        <f t="shared" si="5"/>
        <v>45</v>
      </c>
      <c r="W30" s="128">
        <f t="shared" ca="1" si="6"/>
        <v>540</v>
      </c>
      <c r="Y30" s="25">
        <v>26</v>
      </c>
      <c r="Z30" s="126">
        <f t="shared" ca="1" si="7"/>
        <v>66</v>
      </c>
      <c r="AA30" s="127">
        <f t="shared" si="8"/>
        <v>52</v>
      </c>
      <c r="AB30" s="128">
        <f t="shared" ca="1" si="9"/>
        <v>624</v>
      </c>
      <c r="AD30" s="25">
        <v>26</v>
      </c>
      <c r="AE30" s="126">
        <f t="shared" ca="1" si="10"/>
        <v>66</v>
      </c>
      <c r="AF30" s="127">
        <f t="shared" si="11"/>
        <v>59</v>
      </c>
      <c r="AG30" s="128">
        <f t="shared" ca="1" si="12"/>
        <v>708</v>
      </c>
      <c r="AI30" s="25">
        <v>26</v>
      </c>
      <c r="AJ30" s="126">
        <f t="shared" ca="1" si="13"/>
        <v>66</v>
      </c>
      <c r="AK30" s="127">
        <f t="shared" si="14"/>
        <v>66</v>
      </c>
      <c r="AL30" s="128">
        <f t="shared" ca="1" si="15"/>
        <v>792</v>
      </c>
    </row>
    <row r="31" spans="2:38">
      <c r="L31" s="25">
        <v>27</v>
      </c>
      <c r="M31" s="125">
        <f t="shared" ca="1" si="0"/>
        <v>0.27467858106962617</v>
      </c>
      <c r="O31" s="25">
        <v>27</v>
      </c>
      <c r="P31" s="126">
        <f t="shared" ca="1" si="1"/>
        <v>45</v>
      </c>
      <c r="Q31" s="127">
        <f t="shared" si="2"/>
        <v>38</v>
      </c>
      <c r="R31" s="128">
        <f t="shared" ca="1" si="3"/>
        <v>456</v>
      </c>
      <c r="T31" s="25">
        <v>27</v>
      </c>
      <c r="U31" s="126">
        <f t="shared" ca="1" si="4"/>
        <v>45</v>
      </c>
      <c r="V31" s="127">
        <f t="shared" si="5"/>
        <v>45</v>
      </c>
      <c r="W31" s="128">
        <f t="shared" ca="1" si="6"/>
        <v>540</v>
      </c>
      <c r="Y31" s="25">
        <v>27</v>
      </c>
      <c r="Z31" s="126">
        <f t="shared" ca="1" si="7"/>
        <v>45</v>
      </c>
      <c r="AA31" s="127">
        <f t="shared" si="8"/>
        <v>52</v>
      </c>
      <c r="AB31" s="128">
        <f t="shared" ca="1" si="9"/>
        <v>484</v>
      </c>
      <c r="AD31" s="25">
        <v>27</v>
      </c>
      <c r="AE31" s="126">
        <f t="shared" ca="1" si="10"/>
        <v>45</v>
      </c>
      <c r="AF31" s="127">
        <f t="shared" si="11"/>
        <v>59</v>
      </c>
      <c r="AG31" s="128">
        <f t="shared" ca="1" si="12"/>
        <v>428</v>
      </c>
      <c r="AI31" s="25">
        <v>27</v>
      </c>
      <c r="AJ31" s="126">
        <f t="shared" ca="1" si="13"/>
        <v>45</v>
      </c>
      <c r="AK31" s="127">
        <f t="shared" si="14"/>
        <v>66</v>
      </c>
      <c r="AL31" s="128">
        <f t="shared" ca="1" si="15"/>
        <v>372</v>
      </c>
    </row>
    <row r="32" spans="2:38">
      <c r="L32" s="25">
        <v>28</v>
      </c>
      <c r="M32" s="125">
        <f t="shared" ca="1" si="0"/>
        <v>0.28864641166200289</v>
      </c>
      <c r="O32" s="25">
        <v>28</v>
      </c>
      <c r="P32" s="126">
        <f t="shared" ca="1" si="1"/>
        <v>45</v>
      </c>
      <c r="Q32" s="127">
        <f t="shared" si="2"/>
        <v>38</v>
      </c>
      <c r="R32" s="128">
        <f t="shared" ca="1" si="3"/>
        <v>456</v>
      </c>
      <c r="T32" s="25">
        <v>28</v>
      </c>
      <c r="U32" s="126">
        <f t="shared" ca="1" si="4"/>
        <v>45</v>
      </c>
      <c r="V32" s="127">
        <f t="shared" si="5"/>
        <v>45</v>
      </c>
      <c r="W32" s="128">
        <f t="shared" ca="1" si="6"/>
        <v>540</v>
      </c>
      <c r="Y32" s="25">
        <v>28</v>
      </c>
      <c r="Z32" s="126">
        <f t="shared" ca="1" si="7"/>
        <v>45</v>
      </c>
      <c r="AA32" s="127">
        <f t="shared" si="8"/>
        <v>52</v>
      </c>
      <c r="AB32" s="128">
        <f t="shared" ca="1" si="9"/>
        <v>484</v>
      </c>
      <c r="AD32" s="25">
        <v>28</v>
      </c>
      <c r="AE32" s="126">
        <f t="shared" ca="1" si="10"/>
        <v>45</v>
      </c>
      <c r="AF32" s="127">
        <f t="shared" si="11"/>
        <v>59</v>
      </c>
      <c r="AG32" s="128">
        <f t="shared" ca="1" si="12"/>
        <v>428</v>
      </c>
      <c r="AI32" s="25">
        <v>28</v>
      </c>
      <c r="AJ32" s="126">
        <f t="shared" ca="1" si="13"/>
        <v>45</v>
      </c>
      <c r="AK32" s="127">
        <f t="shared" si="14"/>
        <v>66</v>
      </c>
      <c r="AL32" s="128">
        <f t="shared" ca="1" si="15"/>
        <v>372</v>
      </c>
    </row>
    <row r="33" spans="12:38">
      <c r="L33" s="25">
        <v>29</v>
      </c>
      <c r="M33" s="125">
        <f t="shared" ca="1" si="0"/>
        <v>0.6889384648342709</v>
      </c>
      <c r="O33" s="25">
        <v>29</v>
      </c>
      <c r="P33" s="126">
        <f t="shared" ca="1" si="1"/>
        <v>59</v>
      </c>
      <c r="Q33" s="127">
        <f t="shared" si="2"/>
        <v>38</v>
      </c>
      <c r="R33" s="128">
        <f t="shared" ca="1" si="3"/>
        <v>456</v>
      </c>
      <c r="T33" s="25">
        <v>29</v>
      </c>
      <c r="U33" s="126">
        <f t="shared" ca="1" si="4"/>
        <v>59</v>
      </c>
      <c r="V33" s="127">
        <f t="shared" si="5"/>
        <v>45</v>
      </c>
      <c r="W33" s="128">
        <f t="shared" ca="1" si="6"/>
        <v>540</v>
      </c>
      <c r="Y33" s="25">
        <v>29</v>
      </c>
      <c r="Z33" s="126">
        <f t="shared" ca="1" si="7"/>
        <v>59</v>
      </c>
      <c r="AA33" s="127">
        <f t="shared" si="8"/>
        <v>52</v>
      </c>
      <c r="AB33" s="128">
        <f t="shared" ca="1" si="9"/>
        <v>624</v>
      </c>
      <c r="AD33" s="25">
        <v>29</v>
      </c>
      <c r="AE33" s="126">
        <f t="shared" ca="1" si="10"/>
        <v>59</v>
      </c>
      <c r="AF33" s="127">
        <f t="shared" si="11"/>
        <v>59</v>
      </c>
      <c r="AG33" s="128">
        <f t="shared" ca="1" si="12"/>
        <v>708</v>
      </c>
      <c r="AI33" s="25">
        <v>29</v>
      </c>
      <c r="AJ33" s="126">
        <f t="shared" ca="1" si="13"/>
        <v>59</v>
      </c>
      <c r="AK33" s="127">
        <f t="shared" si="14"/>
        <v>66</v>
      </c>
      <c r="AL33" s="128">
        <f t="shared" ca="1" si="15"/>
        <v>652</v>
      </c>
    </row>
    <row r="34" spans="12:38">
      <c r="L34" s="25">
        <v>30</v>
      </c>
      <c r="M34" s="125">
        <f t="shared" ca="1" si="0"/>
        <v>6.2861544325690133E-2</v>
      </c>
      <c r="O34" s="25">
        <v>30</v>
      </c>
      <c r="P34" s="126">
        <f t="shared" ca="1" si="1"/>
        <v>38</v>
      </c>
      <c r="Q34" s="127">
        <f t="shared" si="2"/>
        <v>38</v>
      </c>
      <c r="R34" s="128">
        <f t="shared" ca="1" si="3"/>
        <v>456</v>
      </c>
      <c r="T34" s="25">
        <v>30</v>
      </c>
      <c r="U34" s="126">
        <f t="shared" ca="1" si="4"/>
        <v>38</v>
      </c>
      <c r="V34" s="127">
        <f t="shared" si="5"/>
        <v>45</v>
      </c>
      <c r="W34" s="128">
        <f t="shared" ca="1" si="6"/>
        <v>400</v>
      </c>
      <c r="Y34" s="25">
        <v>30</v>
      </c>
      <c r="Z34" s="126">
        <f t="shared" ca="1" si="7"/>
        <v>38</v>
      </c>
      <c r="AA34" s="127">
        <f t="shared" si="8"/>
        <v>52</v>
      </c>
      <c r="AB34" s="128">
        <f t="shared" ca="1" si="9"/>
        <v>344</v>
      </c>
      <c r="AD34" s="25">
        <v>30</v>
      </c>
      <c r="AE34" s="126">
        <f t="shared" ca="1" si="10"/>
        <v>38</v>
      </c>
      <c r="AF34" s="127">
        <f t="shared" si="11"/>
        <v>59</v>
      </c>
      <c r="AG34" s="128">
        <f t="shared" ca="1" si="12"/>
        <v>288</v>
      </c>
      <c r="AI34" s="25">
        <v>30</v>
      </c>
      <c r="AJ34" s="126">
        <f t="shared" ca="1" si="13"/>
        <v>38</v>
      </c>
      <c r="AK34" s="127">
        <f t="shared" si="14"/>
        <v>66</v>
      </c>
      <c r="AL34" s="128">
        <f t="shared" ca="1" si="15"/>
        <v>232</v>
      </c>
    </row>
    <row r="35" spans="12:38">
      <c r="L35" s="25">
        <v>31</v>
      </c>
      <c r="M35" s="125">
        <f t="shared" ca="1" si="0"/>
        <v>0.89058708285233956</v>
      </c>
      <c r="O35" s="25">
        <v>31</v>
      </c>
      <c r="P35" s="126">
        <f t="shared" ca="1" si="1"/>
        <v>66</v>
      </c>
      <c r="Q35" s="127">
        <f t="shared" si="2"/>
        <v>38</v>
      </c>
      <c r="R35" s="128">
        <f t="shared" ca="1" si="3"/>
        <v>456</v>
      </c>
      <c r="T35" s="25">
        <v>31</v>
      </c>
      <c r="U35" s="126">
        <f t="shared" ca="1" si="4"/>
        <v>66</v>
      </c>
      <c r="V35" s="127">
        <f t="shared" si="5"/>
        <v>45</v>
      </c>
      <c r="W35" s="128">
        <f t="shared" ca="1" si="6"/>
        <v>540</v>
      </c>
      <c r="Y35" s="25">
        <v>31</v>
      </c>
      <c r="Z35" s="126">
        <f t="shared" ca="1" si="7"/>
        <v>66</v>
      </c>
      <c r="AA35" s="127">
        <f t="shared" si="8"/>
        <v>52</v>
      </c>
      <c r="AB35" s="128">
        <f t="shared" ca="1" si="9"/>
        <v>624</v>
      </c>
      <c r="AD35" s="25">
        <v>31</v>
      </c>
      <c r="AE35" s="126">
        <f t="shared" ca="1" si="10"/>
        <v>66</v>
      </c>
      <c r="AF35" s="127">
        <f t="shared" si="11"/>
        <v>59</v>
      </c>
      <c r="AG35" s="128">
        <f t="shared" ca="1" si="12"/>
        <v>708</v>
      </c>
      <c r="AI35" s="25">
        <v>31</v>
      </c>
      <c r="AJ35" s="126">
        <f t="shared" ca="1" si="13"/>
        <v>66</v>
      </c>
      <c r="AK35" s="127">
        <f t="shared" si="14"/>
        <v>66</v>
      </c>
      <c r="AL35" s="128">
        <f t="shared" ca="1" si="15"/>
        <v>792</v>
      </c>
    </row>
    <row r="36" spans="12:38">
      <c r="L36" s="25">
        <v>32</v>
      </c>
      <c r="M36" s="125">
        <f t="shared" ca="1" si="0"/>
        <v>4.937135965193884E-2</v>
      </c>
      <c r="O36" s="25">
        <v>32</v>
      </c>
      <c r="P36" s="126">
        <f t="shared" ca="1" si="1"/>
        <v>38</v>
      </c>
      <c r="Q36" s="127">
        <f t="shared" si="2"/>
        <v>38</v>
      </c>
      <c r="R36" s="128">
        <f t="shared" ca="1" si="3"/>
        <v>456</v>
      </c>
      <c r="T36" s="25">
        <v>32</v>
      </c>
      <c r="U36" s="126">
        <f t="shared" ca="1" si="4"/>
        <v>38</v>
      </c>
      <c r="V36" s="127">
        <f t="shared" si="5"/>
        <v>45</v>
      </c>
      <c r="W36" s="128">
        <f t="shared" ca="1" si="6"/>
        <v>400</v>
      </c>
      <c r="Y36" s="25">
        <v>32</v>
      </c>
      <c r="Z36" s="126">
        <f t="shared" ca="1" si="7"/>
        <v>38</v>
      </c>
      <c r="AA36" s="127">
        <f t="shared" si="8"/>
        <v>52</v>
      </c>
      <c r="AB36" s="128">
        <f t="shared" ca="1" si="9"/>
        <v>344</v>
      </c>
      <c r="AD36" s="25">
        <v>32</v>
      </c>
      <c r="AE36" s="126">
        <f t="shared" ca="1" si="10"/>
        <v>38</v>
      </c>
      <c r="AF36" s="127">
        <f t="shared" si="11"/>
        <v>59</v>
      </c>
      <c r="AG36" s="128">
        <f t="shared" ca="1" si="12"/>
        <v>288</v>
      </c>
      <c r="AI36" s="25">
        <v>32</v>
      </c>
      <c r="AJ36" s="126">
        <f t="shared" ca="1" si="13"/>
        <v>38</v>
      </c>
      <c r="AK36" s="127">
        <f t="shared" si="14"/>
        <v>66</v>
      </c>
      <c r="AL36" s="128">
        <f t="shared" ca="1" si="15"/>
        <v>232</v>
      </c>
    </row>
    <row r="37" spans="12:38">
      <c r="L37" s="25">
        <v>33</v>
      </c>
      <c r="M37" s="125">
        <f t="shared" ref="M37:M68" ca="1" si="16">RAND()</f>
        <v>0.5644968990633189</v>
      </c>
      <c r="O37" s="25">
        <v>33</v>
      </c>
      <c r="P37" s="126">
        <f t="shared" ref="P37:P68" ca="1" si="17">VLOOKUP(M37,$I$5:$J$9,2)</f>
        <v>59</v>
      </c>
      <c r="Q37" s="127">
        <f t="shared" ref="Q37:Q68" si="18">$J$5</f>
        <v>38</v>
      </c>
      <c r="R37" s="128">
        <f t="shared" ref="R37:R68" ca="1" si="19">MIN(P37:Q37)*$E$14-MAX(0,Q37-P37)*$E$15</f>
        <v>456</v>
      </c>
      <c r="T37" s="25">
        <v>33</v>
      </c>
      <c r="U37" s="126">
        <f t="shared" ref="U37:U68" ca="1" si="20">VLOOKUP(M37,$I$5:$J$9,2)</f>
        <v>59</v>
      </c>
      <c r="V37" s="127">
        <f t="shared" ref="V37:V68" si="21">$J$6</f>
        <v>45</v>
      </c>
      <c r="W37" s="128">
        <f t="shared" ref="W37:W68" ca="1" si="22">MIN(U37:V37)*$E$14-MAX(0,V37-U37)*$E$15</f>
        <v>540</v>
      </c>
      <c r="Y37" s="25">
        <v>33</v>
      </c>
      <c r="Z37" s="126">
        <f t="shared" ref="Z37:Z68" ca="1" si="23">VLOOKUP(M37,$I$5:$J$9,2)</f>
        <v>59</v>
      </c>
      <c r="AA37" s="127">
        <f t="shared" ref="AA37:AA68" si="24">$J$7</f>
        <v>52</v>
      </c>
      <c r="AB37" s="128">
        <f t="shared" ref="AB37:AB68" ca="1" si="25">MIN(Z37:AA37)*$E$14-MAX(0,AA37-Z37)*$E$15</f>
        <v>624</v>
      </c>
      <c r="AD37" s="25">
        <v>33</v>
      </c>
      <c r="AE37" s="126">
        <f t="shared" ref="AE37:AE68" ca="1" si="26">VLOOKUP(M37,$I$5:$J$9,2)</f>
        <v>59</v>
      </c>
      <c r="AF37" s="127">
        <f t="shared" ref="AF37:AF68" si="27">$J$8</f>
        <v>59</v>
      </c>
      <c r="AG37" s="128">
        <f t="shared" ref="AG37:AG68" ca="1" si="28">MIN(AE37:AF37)*$E$14-MAX(0,AF37-AE37)*$E$15</f>
        <v>708</v>
      </c>
      <c r="AI37" s="25">
        <v>33</v>
      </c>
      <c r="AJ37" s="126">
        <f t="shared" ref="AJ37:AJ68" ca="1" si="29">VLOOKUP(M37,$I$5:$J$9,2)</f>
        <v>59</v>
      </c>
      <c r="AK37" s="127">
        <f t="shared" ref="AK37:AK68" si="30">$J$9</f>
        <v>66</v>
      </c>
      <c r="AL37" s="128">
        <f t="shared" ref="AL37:AL68" ca="1" si="31">MIN(AJ37:AK37)*$E$14-MAX(0,AK37-AJ37)*$E$15</f>
        <v>652</v>
      </c>
    </row>
    <row r="38" spans="12:38">
      <c r="L38" s="25">
        <v>34</v>
      </c>
      <c r="M38" s="125">
        <f t="shared" ca="1" si="16"/>
        <v>0.45652894076822126</v>
      </c>
      <c r="O38" s="25">
        <v>34</v>
      </c>
      <c r="P38" s="126">
        <f t="shared" ca="1" si="17"/>
        <v>59</v>
      </c>
      <c r="Q38" s="127">
        <f t="shared" si="18"/>
        <v>38</v>
      </c>
      <c r="R38" s="128">
        <f t="shared" ca="1" si="19"/>
        <v>456</v>
      </c>
      <c r="T38" s="25">
        <v>34</v>
      </c>
      <c r="U38" s="126">
        <f t="shared" ca="1" si="20"/>
        <v>59</v>
      </c>
      <c r="V38" s="127">
        <f t="shared" si="21"/>
        <v>45</v>
      </c>
      <c r="W38" s="128">
        <f t="shared" ca="1" si="22"/>
        <v>540</v>
      </c>
      <c r="Y38" s="25">
        <v>34</v>
      </c>
      <c r="Z38" s="126">
        <f t="shared" ca="1" si="23"/>
        <v>59</v>
      </c>
      <c r="AA38" s="127">
        <f t="shared" si="24"/>
        <v>52</v>
      </c>
      <c r="AB38" s="128">
        <f t="shared" ca="1" si="25"/>
        <v>624</v>
      </c>
      <c r="AD38" s="25">
        <v>34</v>
      </c>
      <c r="AE38" s="126">
        <f t="shared" ca="1" si="26"/>
        <v>59</v>
      </c>
      <c r="AF38" s="127">
        <f t="shared" si="27"/>
        <v>59</v>
      </c>
      <c r="AG38" s="128">
        <f t="shared" ca="1" si="28"/>
        <v>708</v>
      </c>
      <c r="AI38" s="25">
        <v>34</v>
      </c>
      <c r="AJ38" s="126">
        <f t="shared" ca="1" si="29"/>
        <v>59</v>
      </c>
      <c r="AK38" s="127">
        <f t="shared" si="30"/>
        <v>66</v>
      </c>
      <c r="AL38" s="128">
        <f t="shared" ca="1" si="31"/>
        <v>652</v>
      </c>
    </row>
    <row r="39" spans="12:38">
      <c r="L39" s="25">
        <v>35</v>
      </c>
      <c r="M39" s="125">
        <f t="shared" ca="1" si="16"/>
        <v>0.11632786944012086</v>
      </c>
      <c r="O39" s="25">
        <v>35</v>
      </c>
      <c r="P39" s="126">
        <f t="shared" ca="1" si="17"/>
        <v>45</v>
      </c>
      <c r="Q39" s="127">
        <f t="shared" si="18"/>
        <v>38</v>
      </c>
      <c r="R39" s="128">
        <f t="shared" ca="1" si="19"/>
        <v>456</v>
      </c>
      <c r="T39" s="25">
        <v>35</v>
      </c>
      <c r="U39" s="126">
        <f t="shared" ca="1" si="20"/>
        <v>45</v>
      </c>
      <c r="V39" s="127">
        <f t="shared" si="21"/>
        <v>45</v>
      </c>
      <c r="W39" s="128">
        <f t="shared" ca="1" si="22"/>
        <v>540</v>
      </c>
      <c r="Y39" s="25">
        <v>35</v>
      </c>
      <c r="Z39" s="126">
        <f t="shared" ca="1" si="23"/>
        <v>45</v>
      </c>
      <c r="AA39" s="127">
        <f t="shared" si="24"/>
        <v>52</v>
      </c>
      <c r="AB39" s="128">
        <f t="shared" ca="1" si="25"/>
        <v>484</v>
      </c>
      <c r="AD39" s="25">
        <v>35</v>
      </c>
      <c r="AE39" s="126">
        <f t="shared" ca="1" si="26"/>
        <v>45</v>
      </c>
      <c r="AF39" s="127">
        <f t="shared" si="27"/>
        <v>59</v>
      </c>
      <c r="AG39" s="128">
        <f t="shared" ca="1" si="28"/>
        <v>428</v>
      </c>
      <c r="AI39" s="25">
        <v>35</v>
      </c>
      <c r="AJ39" s="126">
        <f t="shared" ca="1" si="29"/>
        <v>45</v>
      </c>
      <c r="AK39" s="127">
        <f t="shared" si="30"/>
        <v>66</v>
      </c>
      <c r="AL39" s="128">
        <f t="shared" ca="1" si="31"/>
        <v>372</v>
      </c>
    </row>
    <row r="40" spans="12:38">
      <c r="L40" s="25">
        <v>36</v>
      </c>
      <c r="M40" s="125">
        <f t="shared" ca="1" si="16"/>
        <v>0.81438005186742402</v>
      </c>
      <c r="O40" s="25">
        <v>36</v>
      </c>
      <c r="P40" s="126">
        <f t="shared" ca="1" si="17"/>
        <v>66</v>
      </c>
      <c r="Q40" s="127">
        <f t="shared" si="18"/>
        <v>38</v>
      </c>
      <c r="R40" s="128">
        <f t="shared" ca="1" si="19"/>
        <v>456</v>
      </c>
      <c r="T40" s="25">
        <v>36</v>
      </c>
      <c r="U40" s="126">
        <f t="shared" ca="1" si="20"/>
        <v>66</v>
      </c>
      <c r="V40" s="127">
        <f t="shared" si="21"/>
        <v>45</v>
      </c>
      <c r="W40" s="128">
        <f t="shared" ca="1" si="22"/>
        <v>540</v>
      </c>
      <c r="Y40" s="25">
        <v>36</v>
      </c>
      <c r="Z40" s="126">
        <f t="shared" ca="1" si="23"/>
        <v>66</v>
      </c>
      <c r="AA40" s="127">
        <f t="shared" si="24"/>
        <v>52</v>
      </c>
      <c r="AB40" s="128">
        <f t="shared" ca="1" si="25"/>
        <v>624</v>
      </c>
      <c r="AD40" s="25">
        <v>36</v>
      </c>
      <c r="AE40" s="126">
        <f t="shared" ca="1" si="26"/>
        <v>66</v>
      </c>
      <c r="AF40" s="127">
        <f t="shared" si="27"/>
        <v>59</v>
      </c>
      <c r="AG40" s="128">
        <f t="shared" ca="1" si="28"/>
        <v>708</v>
      </c>
      <c r="AI40" s="25">
        <v>36</v>
      </c>
      <c r="AJ40" s="126">
        <f t="shared" ca="1" si="29"/>
        <v>66</v>
      </c>
      <c r="AK40" s="127">
        <f t="shared" si="30"/>
        <v>66</v>
      </c>
      <c r="AL40" s="128">
        <f t="shared" ca="1" si="31"/>
        <v>792</v>
      </c>
    </row>
    <row r="41" spans="12:38">
      <c r="L41" s="25">
        <v>37</v>
      </c>
      <c r="M41" s="125">
        <f t="shared" ca="1" si="16"/>
        <v>0.23352718772040193</v>
      </c>
      <c r="O41" s="25">
        <v>37</v>
      </c>
      <c r="P41" s="126">
        <f t="shared" ca="1" si="17"/>
        <v>45</v>
      </c>
      <c r="Q41" s="127">
        <f t="shared" si="18"/>
        <v>38</v>
      </c>
      <c r="R41" s="128">
        <f t="shared" ca="1" si="19"/>
        <v>456</v>
      </c>
      <c r="T41" s="25">
        <v>37</v>
      </c>
      <c r="U41" s="126">
        <f t="shared" ca="1" si="20"/>
        <v>45</v>
      </c>
      <c r="V41" s="127">
        <f t="shared" si="21"/>
        <v>45</v>
      </c>
      <c r="W41" s="128">
        <f t="shared" ca="1" si="22"/>
        <v>540</v>
      </c>
      <c r="Y41" s="25">
        <v>37</v>
      </c>
      <c r="Z41" s="126">
        <f t="shared" ca="1" si="23"/>
        <v>45</v>
      </c>
      <c r="AA41" s="127">
        <f t="shared" si="24"/>
        <v>52</v>
      </c>
      <c r="AB41" s="128">
        <f t="shared" ca="1" si="25"/>
        <v>484</v>
      </c>
      <c r="AD41" s="25">
        <v>37</v>
      </c>
      <c r="AE41" s="126">
        <f t="shared" ca="1" si="26"/>
        <v>45</v>
      </c>
      <c r="AF41" s="127">
        <f t="shared" si="27"/>
        <v>59</v>
      </c>
      <c r="AG41" s="128">
        <f t="shared" ca="1" si="28"/>
        <v>428</v>
      </c>
      <c r="AI41" s="25">
        <v>37</v>
      </c>
      <c r="AJ41" s="126">
        <f t="shared" ca="1" si="29"/>
        <v>45</v>
      </c>
      <c r="AK41" s="127">
        <f t="shared" si="30"/>
        <v>66</v>
      </c>
      <c r="AL41" s="128">
        <f t="shared" ca="1" si="31"/>
        <v>372</v>
      </c>
    </row>
    <row r="42" spans="12:38">
      <c r="L42" s="25">
        <v>38</v>
      </c>
      <c r="M42" s="125">
        <f t="shared" ca="1" si="16"/>
        <v>0.95793081881850106</v>
      </c>
      <c r="O42" s="25">
        <v>38</v>
      </c>
      <c r="P42" s="126">
        <f t="shared" ca="1" si="17"/>
        <v>66</v>
      </c>
      <c r="Q42" s="127">
        <f t="shared" si="18"/>
        <v>38</v>
      </c>
      <c r="R42" s="128">
        <f t="shared" ca="1" si="19"/>
        <v>456</v>
      </c>
      <c r="T42" s="25">
        <v>38</v>
      </c>
      <c r="U42" s="126">
        <f t="shared" ca="1" si="20"/>
        <v>66</v>
      </c>
      <c r="V42" s="127">
        <f t="shared" si="21"/>
        <v>45</v>
      </c>
      <c r="W42" s="128">
        <f t="shared" ca="1" si="22"/>
        <v>540</v>
      </c>
      <c r="Y42" s="25">
        <v>38</v>
      </c>
      <c r="Z42" s="126">
        <f t="shared" ca="1" si="23"/>
        <v>66</v>
      </c>
      <c r="AA42" s="127">
        <f t="shared" si="24"/>
        <v>52</v>
      </c>
      <c r="AB42" s="128">
        <f t="shared" ca="1" si="25"/>
        <v>624</v>
      </c>
      <c r="AD42" s="25">
        <v>38</v>
      </c>
      <c r="AE42" s="126">
        <f t="shared" ca="1" si="26"/>
        <v>66</v>
      </c>
      <c r="AF42" s="127">
        <f t="shared" si="27"/>
        <v>59</v>
      </c>
      <c r="AG42" s="128">
        <f t="shared" ca="1" si="28"/>
        <v>708</v>
      </c>
      <c r="AI42" s="25">
        <v>38</v>
      </c>
      <c r="AJ42" s="126">
        <f t="shared" ca="1" si="29"/>
        <v>66</v>
      </c>
      <c r="AK42" s="127">
        <f t="shared" si="30"/>
        <v>66</v>
      </c>
      <c r="AL42" s="128">
        <f t="shared" ca="1" si="31"/>
        <v>792</v>
      </c>
    </row>
    <row r="43" spans="12:38">
      <c r="L43" s="25">
        <v>39</v>
      </c>
      <c r="M43" s="125">
        <f t="shared" ca="1" si="16"/>
        <v>2.5339168665616474E-2</v>
      </c>
      <c r="O43" s="25">
        <v>39</v>
      </c>
      <c r="P43" s="126">
        <f t="shared" ca="1" si="17"/>
        <v>38</v>
      </c>
      <c r="Q43" s="127">
        <f t="shared" si="18"/>
        <v>38</v>
      </c>
      <c r="R43" s="128">
        <f t="shared" ca="1" si="19"/>
        <v>456</v>
      </c>
      <c r="T43" s="25">
        <v>39</v>
      </c>
      <c r="U43" s="126">
        <f t="shared" ca="1" si="20"/>
        <v>38</v>
      </c>
      <c r="V43" s="127">
        <f t="shared" si="21"/>
        <v>45</v>
      </c>
      <c r="W43" s="128">
        <f t="shared" ca="1" si="22"/>
        <v>400</v>
      </c>
      <c r="Y43" s="25">
        <v>39</v>
      </c>
      <c r="Z43" s="126">
        <f t="shared" ca="1" si="23"/>
        <v>38</v>
      </c>
      <c r="AA43" s="127">
        <f t="shared" si="24"/>
        <v>52</v>
      </c>
      <c r="AB43" s="128">
        <f t="shared" ca="1" si="25"/>
        <v>344</v>
      </c>
      <c r="AD43" s="25">
        <v>39</v>
      </c>
      <c r="AE43" s="126">
        <f t="shared" ca="1" si="26"/>
        <v>38</v>
      </c>
      <c r="AF43" s="127">
        <f t="shared" si="27"/>
        <v>59</v>
      </c>
      <c r="AG43" s="128">
        <f t="shared" ca="1" si="28"/>
        <v>288</v>
      </c>
      <c r="AI43" s="25">
        <v>39</v>
      </c>
      <c r="AJ43" s="126">
        <f t="shared" ca="1" si="29"/>
        <v>38</v>
      </c>
      <c r="AK43" s="127">
        <f t="shared" si="30"/>
        <v>66</v>
      </c>
      <c r="AL43" s="128">
        <f t="shared" ca="1" si="31"/>
        <v>232</v>
      </c>
    </row>
    <row r="44" spans="12:38">
      <c r="L44" s="25">
        <v>40</v>
      </c>
      <c r="M44" s="125">
        <f t="shared" ca="1" si="16"/>
        <v>0.1610915767574207</v>
      </c>
      <c r="O44" s="25">
        <v>40</v>
      </c>
      <c r="P44" s="126">
        <f t="shared" ca="1" si="17"/>
        <v>45</v>
      </c>
      <c r="Q44" s="127">
        <f t="shared" si="18"/>
        <v>38</v>
      </c>
      <c r="R44" s="128">
        <f t="shared" ca="1" si="19"/>
        <v>456</v>
      </c>
      <c r="T44" s="25">
        <v>40</v>
      </c>
      <c r="U44" s="126">
        <f t="shared" ca="1" si="20"/>
        <v>45</v>
      </c>
      <c r="V44" s="127">
        <f t="shared" si="21"/>
        <v>45</v>
      </c>
      <c r="W44" s="128">
        <f t="shared" ca="1" si="22"/>
        <v>540</v>
      </c>
      <c r="Y44" s="25">
        <v>40</v>
      </c>
      <c r="Z44" s="126">
        <f t="shared" ca="1" si="23"/>
        <v>45</v>
      </c>
      <c r="AA44" s="127">
        <f t="shared" si="24"/>
        <v>52</v>
      </c>
      <c r="AB44" s="128">
        <f t="shared" ca="1" si="25"/>
        <v>484</v>
      </c>
      <c r="AD44" s="25">
        <v>40</v>
      </c>
      <c r="AE44" s="126">
        <f t="shared" ca="1" si="26"/>
        <v>45</v>
      </c>
      <c r="AF44" s="127">
        <f t="shared" si="27"/>
        <v>59</v>
      </c>
      <c r="AG44" s="128">
        <f t="shared" ca="1" si="28"/>
        <v>428</v>
      </c>
      <c r="AI44" s="25">
        <v>40</v>
      </c>
      <c r="AJ44" s="126">
        <f t="shared" ca="1" si="29"/>
        <v>45</v>
      </c>
      <c r="AK44" s="127">
        <f t="shared" si="30"/>
        <v>66</v>
      </c>
      <c r="AL44" s="128">
        <f t="shared" ca="1" si="31"/>
        <v>372</v>
      </c>
    </row>
    <row r="45" spans="12:38">
      <c r="L45" s="25">
        <v>41</v>
      </c>
      <c r="M45" s="125">
        <f t="shared" ca="1" si="16"/>
        <v>0.4416828015891695</v>
      </c>
      <c r="O45" s="25">
        <v>41</v>
      </c>
      <c r="P45" s="126">
        <f t="shared" ca="1" si="17"/>
        <v>52</v>
      </c>
      <c r="Q45" s="127">
        <f t="shared" si="18"/>
        <v>38</v>
      </c>
      <c r="R45" s="128">
        <f t="shared" ca="1" si="19"/>
        <v>456</v>
      </c>
      <c r="T45" s="25">
        <v>41</v>
      </c>
      <c r="U45" s="126">
        <f t="shared" ca="1" si="20"/>
        <v>52</v>
      </c>
      <c r="V45" s="127">
        <f t="shared" si="21"/>
        <v>45</v>
      </c>
      <c r="W45" s="128">
        <f t="shared" ca="1" si="22"/>
        <v>540</v>
      </c>
      <c r="Y45" s="25">
        <v>41</v>
      </c>
      <c r="Z45" s="126">
        <f t="shared" ca="1" si="23"/>
        <v>52</v>
      </c>
      <c r="AA45" s="127">
        <f t="shared" si="24"/>
        <v>52</v>
      </c>
      <c r="AB45" s="128">
        <f t="shared" ca="1" si="25"/>
        <v>624</v>
      </c>
      <c r="AD45" s="25">
        <v>41</v>
      </c>
      <c r="AE45" s="126">
        <f t="shared" ca="1" si="26"/>
        <v>52</v>
      </c>
      <c r="AF45" s="127">
        <f t="shared" si="27"/>
        <v>59</v>
      </c>
      <c r="AG45" s="128">
        <f t="shared" ca="1" si="28"/>
        <v>568</v>
      </c>
      <c r="AI45" s="25">
        <v>41</v>
      </c>
      <c r="AJ45" s="126">
        <f t="shared" ca="1" si="29"/>
        <v>52</v>
      </c>
      <c r="AK45" s="127">
        <f t="shared" si="30"/>
        <v>66</v>
      </c>
      <c r="AL45" s="128">
        <f t="shared" ca="1" si="31"/>
        <v>512</v>
      </c>
    </row>
    <row r="46" spans="12:38">
      <c r="L46" s="25">
        <v>42</v>
      </c>
      <c r="M46" s="125">
        <f t="shared" ca="1" si="16"/>
        <v>0.53813770390319227</v>
      </c>
      <c r="O46" s="25">
        <v>42</v>
      </c>
      <c r="P46" s="126">
        <f t="shared" ca="1" si="17"/>
        <v>59</v>
      </c>
      <c r="Q46" s="127">
        <f t="shared" si="18"/>
        <v>38</v>
      </c>
      <c r="R46" s="128">
        <f t="shared" ca="1" si="19"/>
        <v>456</v>
      </c>
      <c r="T46" s="25">
        <v>42</v>
      </c>
      <c r="U46" s="126">
        <f t="shared" ca="1" si="20"/>
        <v>59</v>
      </c>
      <c r="V46" s="127">
        <f t="shared" si="21"/>
        <v>45</v>
      </c>
      <c r="W46" s="128">
        <f t="shared" ca="1" si="22"/>
        <v>540</v>
      </c>
      <c r="Y46" s="25">
        <v>42</v>
      </c>
      <c r="Z46" s="126">
        <f t="shared" ca="1" si="23"/>
        <v>59</v>
      </c>
      <c r="AA46" s="127">
        <f t="shared" si="24"/>
        <v>52</v>
      </c>
      <c r="AB46" s="128">
        <f t="shared" ca="1" si="25"/>
        <v>624</v>
      </c>
      <c r="AD46" s="25">
        <v>42</v>
      </c>
      <c r="AE46" s="126">
        <f t="shared" ca="1" si="26"/>
        <v>59</v>
      </c>
      <c r="AF46" s="127">
        <f t="shared" si="27"/>
        <v>59</v>
      </c>
      <c r="AG46" s="128">
        <f t="shared" ca="1" si="28"/>
        <v>708</v>
      </c>
      <c r="AI46" s="25">
        <v>42</v>
      </c>
      <c r="AJ46" s="126">
        <f t="shared" ca="1" si="29"/>
        <v>59</v>
      </c>
      <c r="AK46" s="127">
        <f t="shared" si="30"/>
        <v>66</v>
      </c>
      <c r="AL46" s="128">
        <f t="shared" ca="1" si="31"/>
        <v>652</v>
      </c>
    </row>
    <row r="47" spans="12:38">
      <c r="L47" s="25">
        <v>43</v>
      </c>
      <c r="M47" s="125">
        <f t="shared" ca="1" si="16"/>
        <v>0.27585451998169341</v>
      </c>
      <c r="O47" s="25">
        <v>43</v>
      </c>
      <c r="P47" s="126">
        <f t="shared" ca="1" si="17"/>
        <v>45</v>
      </c>
      <c r="Q47" s="127">
        <f t="shared" si="18"/>
        <v>38</v>
      </c>
      <c r="R47" s="128">
        <f t="shared" ca="1" si="19"/>
        <v>456</v>
      </c>
      <c r="T47" s="25">
        <v>43</v>
      </c>
      <c r="U47" s="126">
        <f t="shared" ca="1" si="20"/>
        <v>45</v>
      </c>
      <c r="V47" s="127">
        <f t="shared" si="21"/>
        <v>45</v>
      </c>
      <c r="W47" s="128">
        <f t="shared" ca="1" si="22"/>
        <v>540</v>
      </c>
      <c r="Y47" s="25">
        <v>43</v>
      </c>
      <c r="Z47" s="126">
        <f t="shared" ca="1" si="23"/>
        <v>45</v>
      </c>
      <c r="AA47" s="127">
        <f t="shared" si="24"/>
        <v>52</v>
      </c>
      <c r="AB47" s="128">
        <f t="shared" ca="1" si="25"/>
        <v>484</v>
      </c>
      <c r="AD47" s="25">
        <v>43</v>
      </c>
      <c r="AE47" s="126">
        <f t="shared" ca="1" si="26"/>
        <v>45</v>
      </c>
      <c r="AF47" s="127">
        <f t="shared" si="27"/>
        <v>59</v>
      </c>
      <c r="AG47" s="128">
        <f t="shared" ca="1" si="28"/>
        <v>428</v>
      </c>
      <c r="AI47" s="25">
        <v>43</v>
      </c>
      <c r="AJ47" s="126">
        <f t="shared" ca="1" si="29"/>
        <v>45</v>
      </c>
      <c r="AK47" s="127">
        <f t="shared" si="30"/>
        <v>66</v>
      </c>
      <c r="AL47" s="128">
        <f t="shared" ca="1" si="31"/>
        <v>372</v>
      </c>
    </row>
    <row r="48" spans="12:38">
      <c r="L48" s="25">
        <v>44</v>
      </c>
      <c r="M48" s="125">
        <f t="shared" ca="1" si="16"/>
        <v>0.96568280549206287</v>
      </c>
      <c r="O48" s="25">
        <v>44</v>
      </c>
      <c r="P48" s="126">
        <f t="shared" ca="1" si="17"/>
        <v>66</v>
      </c>
      <c r="Q48" s="127">
        <f t="shared" si="18"/>
        <v>38</v>
      </c>
      <c r="R48" s="128">
        <f t="shared" ca="1" si="19"/>
        <v>456</v>
      </c>
      <c r="T48" s="25">
        <v>44</v>
      </c>
      <c r="U48" s="126">
        <f t="shared" ca="1" si="20"/>
        <v>66</v>
      </c>
      <c r="V48" s="127">
        <f t="shared" si="21"/>
        <v>45</v>
      </c>
      <c r="W48" s="128">
        <f t="shared" ca="1" si="22"/>
        <v>540</v>
      </c>
      <c r="Y48" s="25">
        <v>44</v>
      </c>
      <c r="Z48" s="126">
        <f t="shared" ca="1" si="23"/>
        <v>66</v>
      </c>
      <c r="AA48" s="127">
        <f t="shared" si="24"/>
        <v>52</v>
      </c>
      <c r="AB48" s="128">
        <f t="shared" ca="1" si="25"/>
        <v>624</v>
      </c>
      <c r="AD48" s="25">
        <v>44</v>
      </c>
      <c r="AE48" s="126">
        <f t="shared" ca="1" si="26"/>
        <v>66</v>
      </c>
      <c r="AF48" s="127">
        <f t="shared" si="27"/>
        <v>59</v>
      </c>
      <c r="AG48" s="128">
        <f t="shared" ca="1" si="28"/>
        <v>708</v>
      </c>
      <c r="AI48" s="25">
        <v>44</v>
      </c>
      <c r="AJ48" s="126">
        <f t="shared" ca="1" si="29"/>
        <v>66</v>
      </c>
      <c r="AK48" s="127">
        <f t="shared" si="30"/>
        <v>66</v>
      </c>
      <c r="AL48" s="128">
        <f t="shared" ca="1" si="31"/>
        <v>792</v>
      </c>
    </row>
    <row r="49" spans="12:38">
      <c r="L49" s="25">
        <v>45</v>
      </c>
      <c r="M49" s="125">
        <f t="shared" ca="1" si="16"/>
        <v>0.36252950156597141</v>
      </c>
      <c r="O49" s="25">
        <v>45</v>
      </c>
      <c r="P49" s="126">
        <f t="shared" ca="1" si="17"/>
        <v>52</v>
      </c>
      <c r="Q49" s="127">
        <f t="shared" si="18"/>
        <v>38</v>
      </c>
      <c r="R49" s="128">
        <f t="shared" ca="1" si="19"/>
        <v>456</v>
      </c>
      <c r="T49" s="25">
        <v>45</v>
      </c>
      <c r="U49" s="126">
        <f t="shared" ca="1" si="20"/>
        <v>52</v>
      </c>
      <c r="V49" s="127">
        <f t="shared" si="21"/>
        <v>45</v>
      </c>
      <c r="W49" s="128">
        <f t="shared" ca="1" si="22"/>
        <v>540</v>
      </c>
      <c r="Y49" s="25">
        <v>45</v>
      </c>
      <c r="Z49" s="126">
        <f t="shared" ca="1" si="23"/>
        <v>52</v>
      </c>
      <c r="AA49" s="127">
        <f t="shared" si="24"/>
        <v>52</v>
      </c>
      <c r="AB49" s="128">
        <f t="shared" ca="1" si="25"/>
        <v>624</v>
      </c>
      <c r="AD49" s="25">
        <v>45</v>
      </c>
      <c r="AE49" s="126">
        <f t="shared" ca="1" si="26"/>
        <v>52</v>
      </c>
      <c r="AF49" s="127">
        <f t="shared" si="27"/>
        <v>59</v>
      </c>
      <c r="AG49" s="128">
        <f t="shared" ca="1" si="28"/>
        <v>568</v>
      </c>
      <c r="AI49" s="25">
        <v>45</v>
      </c>
      <c r="AJ49" s="126">
        <f t="shared" ca="1" si="29"/>
        <v>52</v>
      </c>
      <c r="AK49" s="127">
        <f t="shared" si="30"/>
        <v>66</v>
      </c>
      <c r="AL49" s="128">
        <f t="shared" ca="1" si="31"/>
        <v>512</v>
      </c>
    </row>
    <row r="50" spans="12:38">
      <c r="L50" s="25">
        <v>46</v>
      </c>
      <c r="M50" s="125">
        <f t="shared" ca="1" si="16"/>
        <v>0.78991244613719991</v>
      </c>
      <c r="O50" s="25">
        <v>46</v>
      </c>
      <c r="P50" s="126">
        <f t="shared" ca="1" si="17"/>
        <v>66</v>
      </c>
      <c r="Q50" s="127">
        <f t="shared" si="18"/>
        <v>38</v>
      </c>
      <c r="R50" s="128">
        <f t="shared" ca="1" si="19"/>
        <v>456</v>
      </c>
      <c r="T50" s="25">
        <v>46</v>
      </c>
      <c r="U50" s="126">
        <f t="shared" ca="1" si="20"/>
        <v>66</v>
      </c>
      <c r="V50" s="127">
        <f t="shared" si="21"/>
        <v>45</v>
      </c>
      <c r="W50" s="128">
        <f t="shared" ca="1" si="22"/>
        <v>540</v>
      </c>
      <c r="Y50" s="25">
        <v>46</v>
      </c>
      <c r="Z50" s="126">
        <f t="shared" ca="1" si="23"/>
        <v>66</v>
      </c>
      <c r="AA50" s="127">
        <f t="shared" si="24"/>
        <v>52</v>
      </c>
      <c r="AB50" s="128">
        <f t="shared" ca="1" si="25"/>
        <v>624</v>
      </c>
      <c r="AD50" s="25">
        <v>46</v>
      </c>
      <c r="AE50" s="126">
        <f t="shared" ca="1" si="26"/>
        <v>66</v>
      </c>
      <c r="AF50" s="127">
        <f t="shared" si="27"/>
        <v>59</v>
      </c>
      <c r="AG50" s="128">
        <f t="shared" ca="1" si="28"/>
        <v>708</v>
      </c>
      <c r="AI50" s="25">
        <v>46</v>
      </c>
      <c r="AJ50" s="126">
        <f t="shared" ca="1" si="29"/>
        <v>66</v>
      </c>
      <c r="AK50" s="127">
        <f t="shared" si="30"/>
        <v>66</v>
      </c>
      <c r="AL50" s="128">
        <f t="shared" ca="1" si="31"/>
        <v>792</v>
      </c>
    </row>
    <row r="51" spans="12:38">
      <c r="L51" s="25">
        <v>47</v>
      </c>
      <c r="M51" s="125">
        <f t="shared" ca="1" si="16"/>
        <v>0.78081875831338754</v>
      </c>
      <c r="O51" s="25">
        <v>47</v>
      </c>
      <c r="P51" s="126">
        <f t="shared" ca="1" si="17"/>
        <v>66</v>
      </c>
      <c r="Q51" s="127">
        <f t="shared" si="18"/>
        <v>38</v>
      </c>
      <c r="R51" s="128">
        <f t="shared" ca="1" si="19"/>
        <v>456</v>
      </c>
      <c r="T51" s="25">
        <v>47</v>
      </c>
      <c r="U51" s="126">
        <f t="shared" ca="1" si="20"/>
        <v>66</v>
      </c>
      <c r="V51" s="127">
        <f t="shared" si="21"/>
        <v>45</v>
      </c>
      <c r="W51" s="128">
        <f t="shared" ca="1" si="22"/>
        <v>540</v>
      </c>
      <c r="Y51" s="25">
        <v>47</v>
      </c>
      <c r="Z51" s="126">
        <f t="shared" ca="1" si="23"/>
        <v>66</v>
      </c>
      <c r="AA51" s="127">
        <f t="shared" si="24"/>
        <v>52</v>
      </c>
      <c r="AB51" s="128">
        <f t="shared" ca="1" si="25"/>
        <v>624</v>
      </c>
      <c r="AD51" s="25">
        <v>47</v>
      </c>
      <c r="AE51" s="126">
        <f t="shared" ca="1" si="26"/>
        <v>66</v>
      </c>
      <c r="AF51" s="127">
        <f t="shared" si="27"/>
        <v>59</v>
      </c>
      <c r="AG51" s="128">
        <f t="shared" ca="1" si="28"/>
        <v>708</v>
      </c>
      <c r="AI51" s="25">
        <v>47</v>
      </c>
      <c r="AJ51" s="126">
        <f t="shared" ca="1" si="29"/>
        <v>66</v>
      </c>
      <c r="AK51" s="127">
        <f t="shared" si="30"/>
        <v>66</v>
      </c>
      <c r="AL51" s="128">
        <f t="shared" ca="1" si="31"/>
        <v>792</v>
      </c>
    </row>
    <row r="52" spans="12:38">
      <c r="L52" s="25">
        <v>48</v>
      </c>
      <c r="M52" s="125">
        <f t="shared" ca="1" si="16"/>
        <v>0.31644825218146944</v>
      </c>
      <c r="O52" s="25">
        <v>48</v>
      </c>
      <c r="P52" s="126">
        <f t="shared" ca="1" si="17"/>
        <v>45</v>
      </c>
      <c r="Q52" s="127">
        <f t="shared" si="18"/>
        <v>38</v>
      </c>
      <c r="R52" s="128">
        <f t="shared" ca="1" si="19"/>
        <v>456</v>
      </c>
      <c r="T52" s="25">
        <v>48</v>
      </c>
      <c r="U52" s="126">
        <f t="shared" ca="1" si="20"/>
        <v>45</v>
      </c>
      <c r="V52" s="127">
        <f t="shared" si="21"/>
        <v>45</v>
      </c>
      <c r="W52" s="128">
        <f t="shared" ca="1" si="22"/>
        <v>540</v>
      </c>
      <c r="Y52" s="25">
        <v>48</v>
      </c>
      <c r="Z52" s="126">
        <f t="shared" ca="1" si="23"/>
        <v>45</v>
      </c>
      <c r="AA52" s="127">
        <f t="shared" si="24"/>
        <v>52</v>
      </c>
      <c r="AB52" s="128">
        <f t="shared" ca="1" si="25"/>
        <v>484</v>
      </c>
      <c r="AD52" s="25">
        <v>48</v>
      </c>
      <c r="AE52" s="126">
        <f t="shared" ca="1" si="26"/>
        <v>45</v>
      </c>
      <c r="AF52" s="127">
        <f t="shared" si="27"/>
        <v>59</v>
      </c>
      <c r="AG52" s="128">
        <f t="shared" ca="1" si="28"/>
        <v>428</v>
      </c>
      <c r="AI52" s="25">
        <v>48</v>
      </c>
      <c r="AJ52" s="126">
        <f t="shared" ca="1" si="29"/>
        <v>45</v>
      </c>
      <c r="AK52" s="127">
        <f t="shared" si="30"/>
        <v>66</v>
      </c>
      <c r="AL52" s="128">
        <f t="shared" ca="1" si="31"/>
        <v>372</v>
      </c>
    </row>
    <row r="53" spans="12:38">
      <c r="L53" s="25">
        <v>49</v>
      </c>
      <c r="M53" s="125">
        <f t="shared" ca="1" si="16"/>
        <v>0.19079046158614443</v>
      </c>
      <c r="O53" s="25">
        <v>49</v>
      </c>
      <c r="P53" s="126">
        <f t="shared" ca="1" si="17"/>
        <v>45</v>
      </c>
      <c r="Q53" s="127">
        <f t="shared" si="18"/>
        <v>38</v>
      </c>
      <c r="R53" s="128">
        <f t="shared" ca="1" si="19"/>
        <v>456</v>
      </c>
      <c r="T53" s="25">
        <v>49</v>
      </c>
      <c r="U53" s="126">
        <f t="shared" ca="1" si="20"/>
        <v>45</v>
      </c>
      <c r="V53" s="127">
        <f t="shared" si="21"/>
        <v>45</v>
      </c>
      <c r="W53" s="128">
        <f t="shared" ca="1" si="22"/>
        <v>540</v>
      </c>
      <c r="Y53" s="25">
        <v>49</v>
      </c>
      <c r="Z53" s="126">
        <f t="shared" ca="1" si="23"/>
        <v>45</v>
      </c>
      <c r="AA53" s="127">
        <f t="shared" si="24"/>
        <v>52</v>
      </c>
      <c r="AB53" s="128">
        <f t="shared" ca="1" si="25"/>
        <v>484</v>
      </c>
      <c r="AD53" s="25">
        <v>49</v>
      </c>
      <c r="AE53" s="126">
        <f t="shared" ca="1" si="26"/>
        <v>45</v>
      </c>
      <c r="AF53" s="127">
        <f t="shared" si="27"/>
        <v>59</v>
      </c>
      <c r="AG53" s="128">
        <f t="shared" ca="1" si="28"/>
        <v>428</v>
      </c>
      <c r="AI53" s="25">
        <v>49</v>
      </c>
      <c r="AJ53" s="126">
        <f t="shared" ca="1" si="29"/>
        <v>45</v>
      </c>
      <c r="AK53" s="127">
        <f t="shared" si="30"/>
        <v>66</v>
      </c>
      <c r="AL53" s="128">
        <f t="shared" ca="1" si="31"/>
        <v>372</v>
      </c>
    </row>
    <row r="54" spans="12:38">
      <c r="L54" s="25">
        <v>50</v>
      </c>
      <c r="M54" s="125">
        <f t="shared" ca="1" si="16"/>
        <v>0.90923144427561431</v>
      </c>
      <c r="O54" s="25">
        <v>50</v>
      </c>
      <c r="P54" s="126">
        <f t="shared" ca="1" si="17"/>
        <v>66</v>
      </c>
      <c r="Q54" s="127">
        <f t="shared" si="18"/>
        <v>38</v>
      </c>
      <c r="R54" s="128">
        <f t="shared" ca="1" si="19"/>
        <v>456</v>
      </c>
      <c r="T54" s="25">
        <v>50</v>
      </c>
      <c r="U54" s="126">
        <f t="shared" ca="1" si="20"/>
        <v>66</v>
      </c>
      <c r="V54" s="127">
        <f t="shared" si="21"/>
        <v>45</v>
      </c>
      <c r="W54" s="128">
        <f t="shared" ca="1" si="22"/>
        <v>540</v>
      </c>
      <c r="Y54" s="25">
        <v>50</v>
      </c>
      <c r="Z54" s="126">
        <f t="shared" ca="1" si="23"/>
        <v>66</v>
      </c>
      <c r="AA54" s="127">
        <f t="shared" si="24"/>
        <v>52</v>
      </c>
      <c r="AB54" s="128">
        <f t="shared" ca="1" si="25"/>
        <v>624</v>
      </c>
      <c r="AD54" s="25">
        <v>50</v>
      </c>
      <c r="AE54" s="126">
        <f t="shared" ca="1" si="26"/>
        <v>66</v>
      </c>
      <c r="AF54" s="127">
        <f t="shared" si="27"/>
        <v>59</v>
      </c>
      <c r="AG54" s="128">
        <f t="shared" ca="1" si="28"/>
        <v>708</v>
      </c>
      <c r="AI54" s="25">
        <v>50</v>
      </c>
      <c r="AJ54" s="126">
        <f t="shared" ca="1" si="29"/>
        <v>66</v>
      </c>
      <c r="AK54" s="127">
        <f t="shared" si="30"/>
        <v>66</v>
      </c>
      <c r="AL54" s="128">
        <f t="shared" ca="1" si="31"/>
        <v>792</v>
      </c>
    </row>
    <row r="55" spans="12:38">
      <c r="L55" s="25">
        <v>51</v>
      </c>
      <c r="M55" s="125">
        <f t="shared" ca="1" si="16"/>
        <v>5.7180769923864005E-2</v>
      </c>
      <c r="O55" s="25">
        <v>51</v>
      </c>
      <c r="P55" s="126">
        <f t="shared" ca="1" si="17"/>
        <v>38</v>
      </c>
      <c r="Q55" s="127">
        <f t="shared" si="18"/>
        <v>38</v>
      </c>
      <c r="R55" s="128">
        <f t="shared" ca="1" si="19"/>
        <v>456</v>
      </c>
      <c r="T55" s="25">
        <v>51</v>
      </c>
      <c r="U55" s="126">
        <f t="shared" ca="1" si="20"/>
        <v>38</v>
      </c>
      <c r="V55" s="127">
        <f t="shared" si="21"/>
        <v>45</v>
      </c>
      <c r="W55" s="128">
        <f t="shared" ca="1" si="22"/>
        <v>400</v>
      </c>
      <c r="Y55" s="25">
        <v>51</v>
      </c>
      <c r="Z55" s="126">
        <f t="shared" ca="1" si="23"/>
        <v>38</v>
      </c>
      <c r="AA55" s="127">
        <f t="shared" si="24"/>
        <v>52</v>
      </c>
      <c r="AB55" s="128">
        <f t="shared" ca="1" si="25"/>
        <v>344</v>
      </c>
      <c r="AD55" s="25">
        <v>51</v>
      </c>
      <c r="AE55" s="126">
        <f t="shared" ca="1" si="26"/>
        <v>38</v>
      </c>
      <c r="AF55" s="127">
        <f t="shared" si="27"/>
        <v>59</v>
      </c>
      <c r="AG55" s="128">
        <f t="shared" ca="1" si="28"/>
        <v>288</v>
      </c>
      <c r="AI55" s="25">
        <v>51</v>
      </c>
      <c r="AJ55" s="126">
        <f t="shared" ca="1" si="29"/>
        <v>38</v>
      </c>
      <c r="AK55" s="127">
        <f t="shared" si="30"/>
        <v>66</v>
      </c>
      <c r="AL55" s="128">
        <f t="shared" ca="1" si="31"/>
        <v>232</v>
      </c>
    </row>
    <row r="56" spans="12:38">
      <c r="L56" s="25">
        <v>52</v>
      </c>
      <c r="M56" s="125">
        <f t="shared" ca="1" si="16"/>
        <v>0.2397861562446717</v>
      </c>
      <c r="O56" s="25">
        <v>52</v>
      </c>
      <c r="P56" s="126">
        <f t="shared" ca="1" si="17"/>
        <v>45</v>
      </c>
      <c r="Q56" s="127">
        <f t="shared" si="18"/>
        <v>38</v>
      </c>
      <c r="R56" s="128">
        <f t="shared" ca="1" si="19"/>
        <v>456</v>
      </c>
      <c r="T56" s="25">
        <v>52</v>
      </c>
      <c r="U56" s="126">
        <f t="shared" ca="1" si="20"/>
        <v>45</v>
      </c>
      <c r="V56" s="127">
        <f t="shared" si="21"/>
        <v>45</v>
      </c>
      <c r="W56" s="128">
        <f t="shared" ca="1" si="22"/>
        <v>540</v>
      </c>
      <c r="Y56" s="25">
        <v>52</v>
      </c>
      <c r="Z56" s="126">
        <f t="shared" ca="1" si="23"/>
        <v>45</v>
      </c>
      <c r="AA56" s="127">
        <f t="shared" si="24"/>
        <v>52</v>
      </c>
      <c r="AB56" s="128">
        <f t="shared" ca="1" si="25"/>
        <v>484</v>
      </c>
      <c r="AD56" s="25">
        <v>52</v>
      </c>
      <c r="AE56" s="126">
        <f t="shared" ca="1" si="26"/>
        <v>45</v>
      </c>
      <c r="AF56" s="127">
        <f t="shared" si="27"/>
        <v>59</v>
      </c>
      <c r="AG56" s="128">
        <f t="shared" ca="1" si="28"/>
        <v>428</v>
      </c>
      <c r="AI56" s="25">
        <v>52</v>
      </c>
      <c r="AJ56" s="126">
        <f t="shared" ca="1" si="29"/>
        <v>45</v>
      </c>
      <c r="AK56" s="127">
        <f t="shared" si="30"/>
        <v>66</v>
      </c>
      <c r="AL56" s="128">
        <f t="shared" ca="1" si="31"/>
        <v>372</v>
      </c>
    </row>
    <row r="57" spans="12:38">
      <c r="L57" s="25">
        <v>53</v>
      </c>
      <c r="M57" s="125">
        <f t="shared" ca="1" si="16"/>
        <v>0.30453409563884759</v>
      </c>
      <c r="O57" s="25">
        <v>53</v>
      </c>
      <c r="P57" s="126">
        <f t="shared" ca="1" si="17"/>
        <v>45</v>
      </c>
      <c r="Q57" s="127">
        <f t="shared" si="18"/>
        <v>38</v>
      </c>
      <c r="R57" s="128">
        <f t="shared" ca="1" si="19"/>
        <v>456</v>
      </c>
      <c r="T57" s="25">
        <v>53</v>
      </c>
      <c r="U57" s="126">
        <f t="shared" ca="1" si="20"/>
        <v>45</v>
      </c>
      <c r="V57" s="127">
        <f t="shared" si="21"/>
        <v>45</v>
      </c>
      <c r="W57" s="128">
        <f t="shared" ca="1" si="22"/>
        <v>540</v>
      </c>
      <c r="Y57" s="25">
        <v>53</v>
      </c>
      <c r="Z57" s="126">
        <f t="shared" ca="1" si="23"/>
        <v>45</v>
      </c>
      <c r="AA57" s="127">
        <f t="shared" si="24"/>
        <v>52</v>
      </c>
      <c r="AB57" s="128">
        <f t="shared" ca="1" si="25"/>
        <v>484</v>
      </c>
      <c r="AD57" s="25">
        <v>53</v>
      </c>
      <c r="AE57" s="126">
        <f t="shared" ca="1" si="26"/>
        <v>45</v>
      </c>
      <c r="AF57" s="127">
        <f t="shared" si="27"/>
        <v>59</v>
      </c>
      <c r="AG57" s="128">
        <f t="shared" ca="1" si="28"/>
        <v>428</v>
      </c>
      <c r="AI57" s="25">
        <v>53</v>
      </c>
      <c r="AJ57" s="126">
        <f t="shared" ca="1" si="29"/>
        <v>45</v>
      </c>
      <c r="AK57" s="127">
        <f t="shared" si="30"/>
        <v>66</v>
      </c>
      <c r="AL57" s="128">
        <f t="shared" ca="1" si="31"/>
        <v>372</v>
      </c>
    </row>
    <row r="58" spans="12:38">
      <c r="L58" s="25">
        <v>54</v>
      </c>
      <c r="M58" s="125">
        <f t="shared" ca="1" si="16"/>
        <v>0.55690433617528645</v>
      </c>
      <c r="O58" s="25">
        <v>54</v>
      </c>
      <c r="P58" s="126">
        <f t="shared" ca="1" si="17"/>
        <v>59</v>
      </c>
      <c r="Q58" s="127">
        <f t="shared" si="18"/>
        <v>38</v>
      </c>
      <c r="R58" s="128">
        <f t="shared" ca="1" si="19"/>
        <v>456</v>
      </c>
      <c r="T58" s="25">
        <v>54</v>
      </c>
      <c r="U58" s="126">
        <f t="shared" ca="1" si="20"/>
        <v>59</v>
      </c>
      <c r="V58" s="127">
        <f t="shared" si="21"/>
        <v>45</v>
      </c>
      <c r="W58" s="128">
        <f t="shared" ca="1" si="22"/>
        <v>540</v>
      </c>
      <c r="Y58" s="25">
        <v>54</v>
      </c>
      <c r="Z58" s="126">
        <f t="shared" ca="1" si="23"/>
        <v>59</v>
      </c>
      <c r="AA58" s="127">
        <f t="shared" si="24"/>
        <v>52</v>
      </c>
      <c r="AB58" s="128">
        <f t="shared" ca="1" si="25"/>
        <v>624</v>
      </c>
      <c r="AD58" s="25">
        <v>54</v>
      </c>
      <c r="AE58" s="126">
        <f t="shared" ca="1" si="26"/>
        <v>59</v>
      </c>
      <c r="AF58" s="127">
        <f t="shared" si="27"/>
        <v>59</v>
      </c>
      <c r="AG58" s="128">
        <f t="shared" ca="1" si="28"/>
        <v>708</v>
      </c>
      <c r="AI58" s="25">
        <v>54</v>
      </c>
      <c r="AJ58" s="126">
        <f t="shared" ca="1" si="29"/>
        <v>59</v>
      </c>
      <c r="AK58" s="127">
        <f t="shared" si="30"/>
        <v>66</v>
      </c>
      <c r="AL58" s="128">
        <f t="shared" ca="1" si="31"/>
        <v>652</v>
      </c>
    </row>
    <row r="59" spans="12:38">
      <c r="L59" s="25">
        <v>55</v>
      </c>
      <c r="M59" s="125">
        <f t="shared" ca="1" si="16"/>
        <v>0.33209627068883585</v>
      </c>
      <c r="O59" s="25">
        <v>55</v>
      </c>
      <c r="P59" s="126">
        <f t="shared" ca="1" si="17"/>
        <v>45</v>
      </c>
      <c r="Q59" s="127">
        <f t="shared" si="18"/>
        <v>38</v>
      </c>
      <c r="R59" s="128">
        <f t="shared" ca="1" si="19"/>
        <v>456</v>
      </c>
      <c r="T59" s="25">
        <v>55</v>
      </c>
      <c r="U59" s="126">
        <f t="shared" ca="1" si="20"/>
        <v>45</v>
      </c>
      <c r="V59" s="127">
        <f t="shared" si="21"/>
        <v>45</v>
      </c>
      <c r="W59" s="128">
        <f t="shared" ca="1" si="22"/>
        <v>540</v>
      </c>
      <c r="Y59" s="25">
        <v>55</v>
      </c>
      <c r="Z59" s="126">
        <f t="shared" ca="1" si="23"/>
        <v>45</v>
      </c>
      <c r="AA59" s="127">
        <f t="shared" si="24"/>
        <v>52</v>
      </c>
      <c r="AB59" s="128">
        <f t="shared" ca="1" si="25"/>
        <v>484</v>
      </c>
      <c r="AD59" s="25">
        <v>55</v>
      </c>
      <c r="AE59" s="126">
        <f t="shared" ca="1" si="26"/>
        <v>45</v>
      </c>
      <c r="AF59" s="127">
        <f t="shared" si="27"/>
        <v>59</v>
      </c>
      <c r="AG59" s="128">
        <f t="shared" ca="1" si="28"/>
        <v>428</v>
      </c>
      <c r="AI59" s="25">
        <v>55</v>
      </c>
      <c r="AJ59" s="126">
        <f t="shared" ca="1" si="29"/>
        <v>45</v>
      </c>
      <c r="AK59" s="127">
        <f t="shared" si="30"/>
        <v>66</v>
      </c>
      <c r="AL59" s="128">
        <f t="shared" ca="1" si="31"/>
        <v>372</v>
      </c>
    </row>
    <row r="60" spans="12:38">
      <c r="L60" s="25">
        <v>56</v>
      </c>
      <c r="M60" s="125">
        <f t="shared" ca="1" si="16"/>
        <v>0.48804601452196716</v>
      </c>
      <c r="O60" s="25">
        <v>56</v>
      </c>
      <c r="P60" s="126">
        <f t="shared" ca="1" si="17"/>
        <v>59</v>
      </c>
      <c r="Q60" s="127">
        <f t="shared" si="18"/>
        <v>38</v>
      </c>
      <c r="R60" s="128">
        <f t="shared" ca="1" si="19"/>
        <v>456</v>
      </c>
      <c r="T60" s="25">
        <v>56</v>
      </c>
      <c r="U60" s="126">
        <f t="shared" ca="1" si="20"/>
        <v>59</v>
      </c>
      <c r="V60" s="127">
        <f t="shared" si="21"/>
        <v>45</v>
      </c>
      <c r="W60" s="128">
        <f t="shared" ca="1" si="22"/>
        <v>540</v>
      </c>
      <c r="Y60" s="25">
        <v>56</v>
      </c>
      <c r="Z60" s="126">
        <f t="shared" ca="1" si="23"/>
        <v>59</v>
      </c>
      <c r="AA60" s="127">
        <f t="shared" si="24"/>
        <v>52</v>
      </c>
      <c r="AB60" s="128">
        <f t="shared" ca="1" si="25"/>
        <v>624</v>
      </c>
      <c r="AD60" s="25">
        <v>56</v>
      </c>
      <c r="AE60" s="126">
        <f t="shared" ca="1" si="26"/>
        <v>59</v>
      </c>
      <c r="AF60" s="127">
        <f t="shared" si="27"/>
        <v>59</v>
      </c>
      <c r="AG60" s="128">
        <f t="shared" ca="1" si="28"/>
        <v>708</v>
      </c>
      <c r="AI60" s="25">
        <v>56</v>
      </c>
      <c r="AJ60" s="126">
        <f t="shared" ca="1" si="29"/>
        <v>59</v>
      </c>
      <c r="AK60" s="127">
        <f t="shared" si="30"/>
        <v>66</v>
      </c>
      <c r="AL60" s="128">
        <f t="shared" ca="1" si="31"/>
        <v>652</v>
      </c>
    </row>
    <row r="61" spans="12:38">
      <c r="L61" s="25">
        <v>57</v>
      </c>
      <c r="M61" s="125">
        <f t="shared" ca="1" si="16"/>
        <v>0.62640806930106963</v>
      </c>
      <c r="O61" s="25">
        <v>57</v>
      </c>
      <c r="P61" s="126">
        <f t="shared" ca="1" si="17"/>
        <v>59</v>
      </c>
      <c r="Q61" s="127">
        <f t="shared" si="18"/>
        <v>38</v>
      </c>
      <c r="R61" s="128">
        <f t="shared" ca="1" si="19"/>
        <v>456</v>
      </c>
      <c r="T61" s="25">
        <v>57</v>
      </c>
      <c r="U61" s="126">
        <f t="shared" ca="1" si="20"/>
        <v>59</v>
      </c>
      <c r="V61" s="127">
        <f t="shared" si="21"/>
        <v>45</v>
      </c>
      <c r="W61" s="128">
        <f t="shared" ca="1" si="22"/>
        <v>540</v>
      </c>
      <c r="Y61" s="25">
        <v>57</v>
      </c>
      <c r="Z61" s="126">
        <f t="shared" ca="1" si="23"/>
        <v>59</v>
      </c>
      <c r="AA61" s="127">
        <f t="shared" si="24"/>
        <v>52</v>
      </c>
      <c r="AB61" s="128">
        <f t="shared" ca="1" si="25"/>
        <v>624</v>
      </c>
      <c r="AD61" s="25">
        <v>57</v>
      </c>
      <c r="AE61" s="126">
        <f t="shared" ca="1" si="26"/>
        <v>59</v>
      </c>
      <c r="AF61" s="127">
        <f t="shared" si="27"/>
        <v>59</v>
      </c>
      <c r="AG61" s="128">
        <f t="shared" ca="1" si="28"/>
        <v>708</v>
      </c>
      <c r="AI61" s="25">
        <v>57</v>
      </c>
      <c r="AJ61" s="126">
        <f t="shared" ca="1" si="29"/>
        <v>59</v>
      </c>
      <c r="AK61" s="127">
        <f t="shared" si="30"/>
        <v>66</v>
      </c>
      <c r="AL61" s="128">
        <f t="shared" ca="1" si="31"/>
        <v>652</v>
      </c>
    </row>
    <row r="62" spans="12:38">
      <c r="L62" s="25">
        <v>58</v>
      </c>
      <c r="M62" s="125">
        <f t="shared" ca="1" si="16"/>
        <v>0.43788111312157785</v>
      </c>
      <c r="O62" s="25">
        <v>58</v>
      </c>
      <c r="P62" s="126">
        <f t="shared" ca="1" si="17"/>
        <v>52</v>
      </c>
      <c r="Q62" s="127">
        <f t="shared" si="18"/>
        <v>38</v>
      </c>
      <c r="R62" s="128">
        <f t="shared" ca="1" si="19"/>
        <v>456</v>
      </c>
      <c r="T62" s="25">
        <v>58</v>
      </c>
      <c r="U62" s="126">
        <f t="shared" ca="1" si="20"/>
        <v>52</v>
      </c>
      <c r="V62" s="127">
        <f t="shared" si="21"/>
        <v>45</v>
      </c>
      <c r="W62" s="128">
        <f t="shared" ca="1" si="22"/>
        <v>540</v>
      </c>
      <c r="Y62" s="25">
        <v>58</v>
      </c>
      <c r="Z62" s="126">
        <f t="shared" ca="1" si="23"/>
        <v>52</v>
      </c>
      <c r="AA62" s="127">
        <f t="shared" si="24"/>
        <v>52</v>
      </c>
      <c r="AB62" s="128">
        <f t="shared" ca="1" si="25"/>
        <v>624</v>
      </c>
      <c r="AD62" s="25">
        <v>58</v>
      </c>
      <c r="AE62" s="126">
        <f t="shared" ca="1" si="26"/>
        <v>52</v>
      </c>
      <c r="AF62" s="127">
        <f t="shared" si="27"/>
        <v>59</v>
      </c>
      <c r="AG62" s="128">
        <f t="shared" ca="1" si="28"/>
        <v>568</v>
      </c>
      <c r="AI62" s="25">
        <v>58</v>
      </c>
      <c r="AJ62" s="126">
        <f t="shared" ca="1" si="29"/>
        <v>52</v>
      </c>
      <c r="AK62" s="127">
        <f t="shared" si="30"/>
        <v>66</v>
      </c>
      <c r="AL62" s="128">
        <f t="shared" ca="1" si="31"/>
        <v>512</v>
      </c>
    </row>
    <row r="63" spans="12:38">
      <c r="L63" s="25">
        <v>59</v>
      </c>
      <c r="M63" s="125">
        <f t="shared" ca="1" si="16"/>
        <v>0.31490754209485516</v>
      </c>
      <c r="O63" s="25">
        <v>59</v>
      </c>
      <c r="P63" s="126">
        <f t="shared" ca="1" si="17"/>
        <v>45</v>
      </c>
      <c r="Q63" s="127">
        <f t="shared" si="18"/>
        <v>38</v>
      </c>
      <c r="R63" s="128">
        <f t="shared" ca="1" si="19"/>
        <v>456</v>
      </c>
      <c r="T63" s="25">
        <v>59</v>
      </c>
      <c r="U63" s="126">
        <f t="shared" ca="1" si="20"/>
        <v>45</v>
      </c>
      <c r="V63" s="127">
        <f t="shared" si="21"/>
        <v>45</v>
      </c>
      <c r="W63" s="128">
        <f t="shared" ca="1" si="22"/>
        <v>540</v>
      </c>
      <c r="Y63" s="25">
        <v>59</v>
      </c>
      <c r="Z63" s="126">
        <f t="shared" ca="1" si="23"/>
        <v>45</v>
      </c>
      <c r="AA63" s="127">
        <f t="shared" si="24"/>
        <v>52</v>
      </c>
      <c r="AB63" s="128">
        <f t="shared" ca="1" si="25"/>
        <v>484</v>
      </c>
      <c r="AD63" s="25">
        <v>59</v>
      </c>
      <c r="AE63" s="126">
        <f t="shared" ca="1" si="26"/>
        <v>45</v>
      </c>
      <c r="AF63" s="127">
        <f t="shared" si="27"/>
        <v>59</v>
      </c>
      <c r="AG63" s="128">
        <f t="shared" ca="1" si="28"/>
        <v>428</v>
      </c>
      <c r="AI63" s="25">
        <v>59</v>
      </c>
      <c r="AJ63" s="126">
        <f t="shared" ca="1" si="29"/>
        <v>45</v>
      </c>
      <c r="AK63" s="127">
        <f t="shared" si="30"/>
        <v>66</v>
      </c>
      <c r="AL63" s="128">
        <f t="shared" ca="1" si="31"/>
        <v>372</v>
      </c>
    </row>
    <row r="64" spans="12:38">
      <c r="L64" s="25">
        <v>60</v>
      </c>
      <c r="M64" s="125">
        <f t="shared" ca="1" si="16"/>
        <v>0.74045920839783419</v>
      </c>
      <c r="O64" s="25">
        <v>60</v>
      </c>
      <c r="P64" s="126">
        <f t="shared" ca="1" si="17"/>
        <v>59</v>
      </c>
      <c r="Q64" s="127">
        <f t="shared" si="18"/>
        <v>38</v>
      </c>
      <c r="R64" s="128">
        <f t="shared" ca="1" si="19"/>
        <v>456</v>
      </c>
      <c r="T64" s="25">
        <v>60</v>
      </c>
      <c r="U64" s="126">
        <f t="shared" ca="1" si="20"/>
        <v>59</v>
      </c>
      <c r="V64" s="127">
        <f t="shared" si="21"/>
        <v>45</v>
      </c>
      <c r="W64" s="128">
        <f t="shared" ca="1" si="22"/>
        <v>540</v>
      </c>
      <c r="Y64" s="25">
        <v>60</v>
      </c>
      <c r="Z64" s="126">
        <f t="shared" ca="1" si="23"/>
        <v>59</v>
      </c>
      <c r="AA64" s="127">
        <f t="shared" si="24"/>
        <v>52</v>
      </c>
      <c r="AB64" s="128">
        <f t="shared" ca="1" si="25"/>
        <v>624</v>
      </c>
      <c r="AD64" s="25">
        <v>60</v>
      </c>
      <c r="AE64" s="126">
        <f t="shared" ca="1" si="26"/>
        <v>59</v>
      </c>
      <c r="AF64" s="127">
        <f t="shared" si="27"/>
        <v>59</v>
      </c>
      <c r="AG64" s="128">
        <f t="shared" ca="1" si="28"/>
        <v>708</v>
      </c>
      <c r="AI64" s="25">
        <v>60</v>
      </c>
      <c r="AJ64" s="126">
        <f t="shared" ca="1" si="29"/>
        <v>59</v>
      </c>
      <c r="AK64" s="127">
        <f t="shared" si="30"/>
        <v>66</v>
      </c>
      <c r="AL64" s="128">
        <f t="shared" ca="1" si="31"/>
        <v>652</v>
      </c>
    </row>
    <row r="65" spans="12:38">
      <c r="L65" s="25">
        <v>61</v>
      </c>
      <c r="M65" s="125">
        <f t="shared" ca="1" si="16"/>
        <v>0.86721071314528519</v>
      </c>
      <c r="O65" s="25">
        <v>61</v>
      </c>
      <c r="P65" s="126">
        <f t="shared" ca="1" si="17"/>
        <v>66</v>
      </c>
      <c r="Q65" s="127">
        <f t="shared" si="18"/>
        <v>38</v>
      </c>
      <c r="R65" s="128">
        <f t="shared" ca="1" si="19"/>
        <v>456</v>
      </c>
      <c r="T65" s="25">
        <v>61</v>
      </c>
      <c r="U65" s="126">
        <f t="shared" ca="1" si="20"/>
        <v>66</v>
      </c>
      <c r="V65" s="127">
        <f t="shared" si="21"/>
        <v>45</v>
      </c>
      <c r="W65" s="128">
        <f t="shared" ca="1" si="22"/>
        <v>540</v>
      </c>
      <c r="Y65" s="25">
        <v>61</v>
      </c>
      <c r="Z65" s="126">
        <f t="shared" ca="1" si="23"/>
        <v>66</v>
      </c>
      <c r="AA65" s="127">
        <f t="shared" si="24"/>
        <v>52</v>
      </c>
      <c r="AB65" s="128">
        <f t="shared" ca="1" si="25"/>
        <v>624</v>
      </c>
      <c r="AD65" s="25">
        <v>61</v>
      </c>
      <c r="AE65" s="126">
        <f t="shared" ca="1" si="26"/>
        <v>66</v>
      </c>
      <c r="AF65" s="127">
        <f t="shared" si="27"/>
        <v>59</v>
      </c>
      <c r="AG65" s="128">
        <f t="shared" ca="1" si="28"/>
        <v>708</v>
      </c>
      <c r="AI65" s="25">
        <v>61</v>
      </c>
      <c r="AJ65" s="126">
        <f t="shared" ca="1" si="29"/>
        <v>66</v>
      </c>
      <c r="AK65" s="127">
        <f t="shared" si="30"/>
        <v>66</v>
      </c>
      <c r="AL65" s="128">
        <f t="shared" ca="1" si="31"/>
        <v>792</v>
      </c>
    </row>
    <row r="66" spans="12:38">
      <c r="L66" s="25">
        <v>62</v>
      </c>
      <c r="M66" s="125">
        <f t="shared" ca="1" si="16"/>
        <v>0.14664216380016903</v>
      </c>
      <c r="O66" s="25">
        <v>62</v>
      </c>
      <c r="P66" s="126">
        <f t="shared" ca="1" si="17"/>
        <v>45</v>
      </c>
      <c r="Q66" s="127">
        <f t="shared" si="18"/>
        <v>38</v>
      </c>
      <c r="R66" s="128">
        <f t="shared" ca="1" si="19"/>
        <v>456</v>
      </c>
      <c r="T66" s="25">
        <v>62</v>
      </c>
      <c r="U66" s="126">
        <f t="shared" ca="1" si="20"/>
        <v>45</v>
      </c>
      <c r="V66" s="127">
        <f t="shared" si="21"/>
        <v>45</v>
      </c>
      <c r="W66" s="128">
        <f t="shared" ca="1" si="22"/>
        <v>540</v>
      </c>
      <c r="Y66" s="25">
        <v>62</v>
      </c>
      <c r="Z66" s="126">
        <f t="shared" ca="1" si="23"/>
        <v>45</v>
      </c>
      <c r="AA66" s="127">
        <f t="shared" si="24"/>
        <v>52</v>
      </c>
      <c r="AB66" s="128">
        <f t="shared" ca="1" si="25"/>
        <v>484</v>
      </c>
      <c r="AD66" s="25">
        <v>62</v>
      </c>
      <c r="AE66" s="126">
        <f t="shared" ca="1" si="26"/>
        <v>45</v>
      </c>
      <c r="AF66" s="127">
        <f t="shared" si="27"/>
        <v>59</v>
      </c>
      <c r="AG66" s="128">
        <f t="shared" ca="1" si="28"/>
        <v>428</v>
      </c>
      <c r="AI66" s="25">
        <v>62</v>
      </c>
      <c r="AJ66" s="126">
        <f t="shared" ca="1" si="29"/>
        <v>45</v>
      </c>
      <c r="AK66" s="127">
        <f t="shared" si="30"/>
        <v>66</v>
      </c>
      <c r="AL66" s="128">
        <f t="shared" ca="1" si="31"/>
        <v>372</v>
      </c>
    </row>
    <row r="67" spans="12:38">
      <c r="L67" s="25">
        <v>63</v>
      </c>
      <c r="M67" s="125">
        <f t="shared" ca="1" si="16"/>
        <v>2.0793063607284057E-2</v>
      </c>
      <c r="O67" s="25">
        <v>63</v>
      </c>
      <c r="P67" s="126">
        <f t="shared" ca="1" si="17"/>
        <v>38</v>
      </c>
      <c r="Q67" s="127">
        <f t="shared" si="18"/>
        <v>38</v>
      </c>
      <c r="R67" s="128">
        <f t="shared" ca="1" si="19"/>
        <v>456</v>
      </c>
      <c r="T67" s="25">
        <v>63</v>
      </c>
      <c r="U67" s="126">
        <f t="shared" ca="1" si="20"/>
        <v>38</v>
      </c>
      <c r="V67" s="127">
        <f t="shared" si="21"/>
        <v>45</v>
      </c>
      <c r="W67" s="128">
        <f t="shared" ca="1" si="22"/>
        <v>400</v>
      </c>
      <c r="Y67" s="25">
        <v>63</v>
      </c>
      <c r="Z67" s="126">
        <f t="shared" ca="1" si="23"/>
        <v>38</v>
      </c>
      <c r="AA67" s="127">
        <f t="shared" si="24"/>
        <v>52</v>
      </c>
      <c r="AB67" s="128">
        <f t="shared" ca="1" si="25"/>
        <v>344</v>
      </c>
      <c r="AD67" s="25">
        <v>63</v>
      </c>
      <c r="AE67" s="126">
        <f t="shared" ca="1" si="26"/>
        <v>38</v>
      </c>
      <c r="AF67" s="127">
        <f t="shared" si="27"/>
        <v>59</v>
      </c>
      <c r="AG67" s="128">
        <f t="shared" ca="1" si="28"/>
        <v>288</v>
      </c>
      <c r="AI67" s="25">
        <v>63</v>
      </c>
      <c r="AJ67" s="126">
        <f t="shared" ca="1" si="29"/>
        <v>38</v>
      </c>
      <c r="AK67" s="127">
        <f t="shared" si="30"/>
        <v>66</v>
      </c>
      <c r="AL67" s="128">
        <f t="shared" ca="1" si="31"/>
        <v>232</v>
      </c>
    </row>
    <row r="68" spans="12:38">
      <c r="L68" s="25">
        <v>64</v>
      </c>
      <c r="M68" s="125">
        <f t="shared" ca="1" si="16"/>
        <v>0.23598660338135502</v>
      </c>
      <c r="O68" s="25">
        <v>64</v>
      </c>
      <c r="P68" s="126">
        <f t="shared" ca="1" si="17"/>
        <v>45</v>
      </c>
      <c r="Q68" s="127">
        <f t="shared" si="18"/>
        <v>38</v>
      </c>
      <c r="R68" s="128">
        <f t="shared" ca="1" si="19"/>
        <v>456</v>
      </c>
      <c r="T68" s="25">
        <v>64</v>
      </c>
      <c r="U68" s="126">
        <f t="shared" ca="1" si="20"/>
        <v>45</v>
      </c>
      <c r="V68" s="127">
        <f t="shared" si="21"/>
        <v>45</v>
      </c>
      <c r="W68" s="128">
        <f t="shared" ca="1" si="22"/>
        <v>540</v>
      </c>
      <c r="Y68" s="25">
        <v>64</v>
      </c>
      <c r="Z68" s="126">
        <f t="shared" ca="1" si="23"/>
        <v>45</v>
      </c>
      <c r="AA68" s="127">
        <f t="shared" si="24"/>
        <v>52</v>
      </c>
      <c r="AB68" s="128">
        <f t="shared" ca="1" si="25"/>
        <v>484</v>
      </c>
      <c r="AD68" s="25">
        <v>64</v>
      </c>
      <c r="AE68" s="126">
        <f t="shared" ca="1" si="26"/>
        <v>45</v>
      </c>
      <c r="AF68" s="127">
        <f t="shared" si="27"/>
        <v>59</v>
      </c>
      <c r="AG68" s="128">
        <f t="shared" ca="1" si="28"/>
        <v>428</v>
      </c>
      <c r="AI68" s="25">
        <v>64</v>
      </c>
      <c r="AJ68" s="126">
        <f t="shared" ca="1" si="29"/>
        <v>45</v>
      </c>
      <c r="AK68" s="127">
        <f t="shared" si="30"/>
        <v>66</v>
      </c>
      <c r="AL68" s="128">
        <f t="shared" ca="1" si="31"/>
        <v>372</v>
      </c>
    </row>
    <row r="69" spans="12:38">
      <c r="L69" s="25">
        <v>65</v>
      </c>
      <c r="M69" s="125">
        <f t="shared" ref="M69:M104" ca="1" si="32">RAND()</f>
        <v>0.28449842664062341</v>
      </c>
      <c r="O69" s="25">
        <v>65</v>
      </c>
      <c r="P69" s="126">
        <f t="shared" ref="P69:P104" ca="1" si="33">VLOOKUP(M69,$I$5:$J$9,2)</f>
        <v>45</v>
      </c>
      <c r="Q69" s="127">
        <f t="shared" ref="Q69:Q104" si="34">$J$5</f>
        <v>38</v>
      </c>
      <c r="R69" s="128">
        <f t="shared" ref="R69:R100" ca="1" si="35">MIN(P69:Q69)*$E$14-MAX(0,Q69-P69)*$E$15</f>
        <v>456</v>
      </c>
      <c r="T69" s="25">
        <v>65</v>
      </c>
      <c r="U69" s="126">
        <f t="shared" ref="U69:U104" ca="1" si="36">VLOOKUP(M69,$I$5:$J$9,2)</f>
        <v>45</v>
      </c>
      <c r="V69" s="127">
        <f t="shared" ref="V69:V104" si="37">$J$6</f>
        <v>45</v>
      </c>
      <c r="W69" s="128">
        <f t="shared" ref="W69:W100" ca="1" si="38">MIN(U69:V69)*$E$14-MAX(0,V69-U69)*$E$15</f>
        <v>540</v>
      </c>
      <c r="Y69" s="25">
        <v>65</v>
      </c>
      <c r="Z69" s="126">
        <f t="shared" ref="Z69:Z104" ca="1" si="39">VLOOKUP(M69,$I$5:$J$9,2)</f>
        <v>45</v>
      </c>
      <c r="AA69" s="127">
        <f t="shared" ref="AA69:AA104" si="40">$J$7</f>
        <v>52</v>
      </c>
      <c r="AB69" s="128">
        <f t="shared" ref="AB69:AB100" ca="1" si="41">MIN(Z69:AA69)*$E$14-MAX(0,AA69-Z69)*$E$15</f>
        <v>484</v>
      </c>
      <c r="AD69" s="25">
        <v>65</v>
      </c>
      <c r="AE69" s="126">
        <f t="shared" ref="AE69:AE104" ca="1" si="42">VLOOKUP(M69,$I$5:$J$9,2)</f>
        <v>45</v>
      </c>
      <c r="AF69" s="127">
        <f t="shared" ref="AF69:AF104" si="43">$J$8</f>
        <v>59</v>
      </c>
      <c r="AG69" s="128">
        <f t="shared" ref="AG69:AG100" ca="1" si="44">MIN(AE69:AF69)*$E$14-MAX(0,AF69-AE69)*$E$15</f>
        <v>428</v>
      </c>
      <c r="AI69" s="25">
        <v>65</v>
      </c>
      <c r="AJ69" s="126">
        <f t="shared" ref="AJ69:AJ104" ca="1" si="45">VLOOKUP(M69,$I$5:$J$9,2)</f>
        <v>45</v>
      </c>
      <c r="AK69" s="127">
        <f t="shared" ref="AK69:AK104" si="46">$J$9</f>
        <v>66</v>
      </c>
      <c r="AL69" s="128">
        <f t="shared" ref="AL69:AL100" ca="1" si="47">MIN(AJ69:AK69)*$E$14-MAX(0,AK69-AJ69)*$E$15</f>
        <v>372</v>
      </c>
    </row>
    <row r="70" spans="12:38">
      <c r="L70" s="25">
        <v>66</v>
      </c>
      <c r="M70" s="125">
        <f t="shared" ca="1" si="32"/>
        <v>9.2311442725884429E-2</v>
      </c>
      <c r="O70" s="25">
        <v>66</v>
      </c>
      <c r="P70" s="126">
        <f t="shared" ca="1" si="33"/>
        <v>38</v>
      </c>
      <c r="Q70" s="127">
        <f t="shared" si="34"/>
        <v>38</v>
      </c>
      <c r="R70" s="128">
        <f t="shared" ca="1" si="35"/>
        <v>456</v>
      </c>
      <c r="T70" s="25">
        <v>66</v>
      </c>
      <c r="U70" s="126">
        <f t="shared" ca="1" si="36"/>
        <v>38</v>
      </c>
      <c r="V70" s="127">
        <f t="shared" si="37"/>
        <v>45</v>
      </c>
      <c r="W70" s="128">
        <f t="shared" ca="1" si="38"/>
        <v>400</v>
      </c>
      <c r="Y70" s="25">
        <v>66</v>
      </c>
      <c r="Z70" s="126">
        <f t="shared" ca="1" si="39"/>
        <v>38</v>
      </c>
      <c r="AA70" s="127">
        <f t="shared" si="40"/>
        <v>52</v>
      </c>
      <c r="AB70" s="128">
        <f t="shared" ca="1" si="41"/>
        <v>344</v>
      </c>
      <c r="AD70" s="25">
        <v>66</v>
      </c>
      <c r="AE70" s="126">
        <f t="shared" ca="1" si="42"/>
        <v>38</v>
      </c>
      <c r="AF70" s="127">
        <f t="shared" si="43"/>
        <v>59</v>
      </c>
      <c r="AG70" s="128">
        <f t="shared" ca="1" si="44"/>
        <v>288</v>
      </c>
      <c r="AI70" s="25">
        <v>66</v>
      </c>
      <c r="AJ70" s="126">
        <f t="shared" ca="1" si="45"/>
        <v>38</v>
      </c>
      <c r="AK70" s="127">
        <f t="shared" si="46"/>
        <v>66</v>
      </c>
      <c r="AL70" s="128">
        <f t="shared" ca="1" si="47"/>
        <v>232</v>
      </c>
    </row>
    <row r="71" spans="12:38">
      <c r="L71" s="25">
        <v>67</v>
      </c>
      <c r="M71" s="125">
        <f t="shared" ca="1" si="32"/>
        <v>0.23630728045189942</v>
      </c>
      <c r="O71" s="25">
        <v>67</v>
      </c>
      <c r="P71" s="126">
        <f t="shared" ca="1" si="33"/>
        <v>45</v>
      </c>
      <c r="Q71" s="127">
        <f t="shared" si="34"/>
        <v>38</v>
      </c>
      <c r="R71" s="128">
        <f t="shared" ca="1" si="35"/>
        <v>456</v>
      </c>
      <c r="T71" s="25">
        <v>67</v>
      </c>
      <c r="U71" s="126">
        <f t="shared" ca="1" si="36"/>
        <v>45</v>
      </c>
      <c r="V71" s="127">
        <f t="shared" si="37"/>
        <v>45</v>
      </c>
      <c r="W71" s="128">
        <f t="shared" ca="1" si="38"/>
        <v>540</v>
      </c>
      <c r="Y71" s="25">
        <v>67</v>
      </c>
      <c r="Z71" s="126">
        <f t="shared" ca="1" si="39"/>
        <v>45</v>
      </c>
      <c r="AA71" s="127">
        <f t="shared" si="40"/>
        <v>52</v>
      </c>
      <c r="AB71" s="128">
        <f t="shared" ca="1" si="41"/>
        <v>484</v>
      </c>
      <c r="AD71" s="25">
        <v>67</v>
      </c>
      <c r="AE71" s="126">
        <f t="shared" ca="1" si="42"/>
        <v>45</v>
      </c>
      <c r="AF71" s="127">
        <f t="shared" si="43"/>
        <v>59</v>
      </c>
      <c r="AG71" s="128">
        <f t="shared" ca="1" si="44"/>
        <v>428</v>
      </c>
      <c r="AI71" s="25">
        <v>67</v>
      </c>
      <c r="AJ71" s="126">
        <f t="shared" ca="1" si="45"/>
        <v>45</v>
      </c>
      <c r="AK71" s="127">
        <f t="shared" si="46"/>
        <v>66</v>
      </c>
      <c r="AL71" s="128">
        <f t="shared" ca="1" si="47"/>
        <v>372</v>
      </c>
    </row>
    <row r="72" spans="12:38">
      <c r="L72" s="25">
        <v>68</v>
      </c>
      <c r="M72" s="125">
        <f t="shared" ca="1" si="32"/>
        <v>0.88656178390125973</v>
      </c>
      <c r="O72" s="25">
        <v>68</v>
      </c>
      <c r="P72" s="126">
        <f t="shared" ca="1" si="33"/>
        <v>66</v>
      </c>
      <c r="Q72" s="127">
        <f t="shared" si="34"/>
        <v>38</v>
      </c>
      <c r="R72" s="128">
        <f t="shared" ca="1" si="35"/>
        <v>456</v>
      </c>
      <c r="T72" s="25">
        <v>68</v>
      </c>
      <c r="U72" s="126">
        <f t="shared" ca="1" si="36"/>
        <v>66</v>
      </c>
      <c r="V72" s="127">
        <f t="shared" si="37"/>
        <v>45</v>
      </c>
      <c r="W72" s="128">
        <f t="shared" ca="1" si="38"/>
        <v>540</v>
      </c>
      <c r="Y72" s="25">
        <v>68</v>
      </c>
      <c r="Z72" s="126">
        <f t="shared" ca="1" si="39"/>
        <v>66</v>
      </c>
      <c r="AA72" s="127">
        <f t="shared" si="40"/>
        <v>52</v>
      </c>
      <c r="AB72" s="128">
        <f t="shared" ca="1" si="41"/>
        <v>624</v>
      </c>
      <c r="AD72" s="25">
        <v>68</v>
      </c>
      <c r="AE72" s="126">
        <f t="shared" ca="1" si="42"/>
        <v>66</v>
      </c>
      <c r="AF72" s="127">
        <f t="shared" si="43"/>
        <v>59</v>
      </c>
      <c r="AG72" s="128">
        <f t="shared" ca="1" si="44"/>
        <v>708</v>
      </c>
      <c r="AI72" s="25">
        <v>68</v>
      </c>
      <c r="AJ72" s="126">
        <f t="shared" ca="1" si="45"/>
        <v>66</v>
      </c>
      <c r="AK72" s="127">
        <f t="shared" si="46"/>
        <v>66</v>
      </c>
      <c r="AL72" s="128">
        <f t="shared" ca="1" si="47"/>
        <v>792</v>
      </c>
    </row>
    <row r="73" spans="12:38">
      <c r="L73" s="25">
        <v>69</v>
      </c>
      <c r="M73" s="125">
        <f t="shared" ca="1" si="32"/>
        <v>0.79740418111740752</v>
      </c>
      <c r="O73" s="25">
        <v>69</v>
      </c>
      <c r="P73" s="126">
        <f t="shared" ca="1" si="33"/>
        <v>66</v>
      </c>
      <c r="Q73" s="127">
        <f t="shared" si="34"/>
        <v>38</v>
      </c>
      <c r="R73" s="128">
        <f t="shared" ca="1" si="35"/>
        <v>456</v>
      </c>
      <c r="T73" s="25">
        <v>69</v>
      </c>
      <c r="U73" s="126">
        <f t="shared" ca="1" si="36"/>
        <v>66</v>
      </c>
      <c r="V73" s="127">
        <f t="shared" si="37"/>
        <v>45</v>
      </c>
      <c r="W73" s="128">
        <f t="shared" ca="1" si="38"/>
        <v>540</v>
      </c>
      <c r="Y73" s="25">
        <v>69</v>
      </c>
      <c r="Z73" s="126">
        <f t="shared" ca="1" si="39"/>
        <v>66</v>
      </c>
      <c r="AA73" s="127">
        <f t="shared" si="40"/>
        <v>52</v>
      </c>
      <c r="AB73" s="128">
        <f t="shared" ca="1" si="41"/>
        <v>624</v>
      </c>
      <c r="AD73" s="25">
        <v>69</v>
      </c>
      <c r="AE73" s="126">
        <f t="shared" ca="1" si="42"/>
        <v>66</v>
      </c>
      <c r="AF73" s="127">
        <f t="shared" si="43"/>
        <v>59</v>
      </c>
      <c r="AG73" s="128">
        <f t="shared" ca="1" si="44"/>
        <v>708</v>
      </c>
      <c r="AI73" s="25">
        <v>69</v>
      </c>
      <c r="AJ73" s="126">
        <f t="shared" ca="1" si="45"/>
        <v>66</v>
      </c>
      <c r="AK73" s="127">
        <f t="shared" si="46"/>
        <v>66</v>
      </c>
      <c r="AL73" s="128">
        <f t="shared" ca="1" si="47"/>
        <v>792</v>
      </c>
    </row>
    <row r="74" spans="12:38">
      <c r="L74" s="25">
        <v>70</v>
      </c>
      <c r="M74" s="125">
        <f t="shared" ca="1" si="32"/>
        <v>0.61519982706281051</v>
      </c>
      <c r="O74" s="25">
        <v>70</v>
      </c>
      <c r="P74" s="126">
        <f t="shared" ca="1" si="33"/>
        <v>59</v>
      </c>
      <c r="Q74" s="127">
        <f t="shared" si="34"/>
        <v>38</v>
      </c>
      <c r="R74" s="128">
        <f t="shared" ca="1" si="35"/>
        <v>456</v>
      </c>
      <c r="T74" s="25">
        <v>70</v>
      </c>
      <c r="U74" s="126">
        <f t="shared" ca="1" si="36"/>
        <v>59</v>
      </c>
      <c r="V74" s="127">
        <f t="shared" si="37"/>
        <v>45</v>
      </c>
      <c r="W74" s="128">
        <f t="shared" ca="1" si="38"/>
        <v>540</v>
      </c>
      <c r="Y74" s="25">
        <v>70</v>
      </c>
      <c r="Z74" s="126">
        <f t="shared" ca="1" si="39"/>
        <v>59</v>
      </c>
      <c r="AA74" s="127">
        <f t="shared" si="40"/>
        <v>52</v>
      </c>
      <c r="AB74" s="128">
        <f t="shared" ca="1" si="41"/>
        <v>624</v>
      </c>
      <c r="AD74" s="25">
        <v>70</v>
      </c>
      <c r="AE74" s="126">
        <f t="shared" ca="1" si="42"/>
        <v>59</v>
      </c>
      <c r="AF74" s="127">
        <f t="shared" si="43"/>
        <v>59</v>
      </c>
      <c r="AG74" s="128">
        <f t="shared" ca="1" si="44"/>
        <v>708</v>
      </c>
      <c r="AI74" s="25">
        <v>70</v>
      </c>
      <c r="AJ74" s="126">
        <f t="shared" ca="1" si="45"/>
        <v>59</v>
      </c>
      <c r="AK74" s="127">
        <f t="shared" si="46"/>
        <v>66</v>
      </c>
      <c r="AL74" s="128">
        <f t="shared" ca="1" si="47"/>
        <v>652</v>
      </c>
    </row>
    <row r="75" spans="12:38">
      <c r="L75" s="25">
        <v>71</v>
      </c>
      <c r="M75" s="125">
        <f t="shared" ca="1" si="32"/>
        <v>0.18491842318743346</v>
      </c>
      <c r="O75" s="25">
        <v>71</v>
      </c>
      <c r="P75" s="126">
        <f t="shared" ca="1" si="33"/>
        <v>45</v>
      </c>
      <c r="Q75" s="127">
        <f t="shared" si="34"/>
        <v>38</v>
      </c>
      <c r="R75" s="128">
        <f t="shared" ca="1" si="35"/>
        <v>456</v>
      </c>
      <c r="T75" s="25">
        <v>71</v>
      </c>
      <c r="U75" s="126">
        <f t="shared" ca="1" si="36"/>
        <v>45</v>
      </c>
      <c r="V75" s="127">
        <f t="shared" si="37"/>
        <v>45</v>
      </c>
      <c r="W75" s="128">
        <f t="shared" ca="1" si="38"/>
        <v>540</v>
      </c>
      <c r="Y75" s="25">
        <v>71</v>
      </c>
      <c r="Z75" s="126">
        <f t="shared" ca="1" si="39"/>
        <v>45</v>
      </c>
      <c r="AA75" s="127">
        <f t="shared" si="40"/>
        <v>52</v>
      </c>
      <c r="AB75" s="128">
        <f t="shared" ca="1" si="41"/>
        <v>484</v>
      </c>
      <c r="AD75" s="25">
        <v>71</v>
      </c>
      <c r="AE75" s="126">
        <f t="shared" ca="1" si="42"/>
        <v>45</v>
      </c>
      <c r="AF75" s="127">
        <f t="shared" si="43"/>
        <v>59</v>
      </c>
      <c r="AG75" s="128">
        <f t="shared" ca="1" si="44"/>
        <v>428</v>
      </c>
      <c r="AI75" s="25">
        <v>71</v>
      </c>
      <c r="AJ75" s="126">
        <f t="shared" ca="1" si="45"/>
        <v>45</v>
      </c>
      <c r="AK75" s="127">
        <f t="shared" si="46"/>
        <v>66</v>
      </c>
      <c r="AL75" s="128">
        <f t="shared" ca="1" si="47"/>
        <v>372</v>
      </c>
    </row>
    <row r="76" spans="12:38">
      <c r="L76" s="25">
        <v>72</v>
      </c>
      <c r="M76" s="125">
        <f t="shared" ca="1" si="32"/>
        <v>9.6217542517879617E-2</v>
      </c>
      <c r="O76" s="25">
        <v>72</v>
      </c>
      <c r="P76" s="126">
        <f t="shared" ca="1" si="33"/>
        <v>38</v>
      </c>
      <c r="Q76" s="127">
        <f t="shared" si="34"/>
        <v>38</v>
      </c>
      <c r="R76" s="128">
        <f t="shared" ca="1" si="35"/>
        <v>456</v>
      </c>
      <c r="T76" s="25">
        <v>72</v>
      </c>
      <c r="U76" s="126">
        <f t="shared" ca="1" si="36"/>
        <v>38</v>
      </c>
      <c r="V76" s="127">
        <f t="shared" si="37"/>
        <v>45</v>
      </c>
      <c r="W76" s="128">
        <f t="shared" ca="1" si="38"/>
        <v>400</v>
      </c>
      <c r="Y76" s="25">
        <v>72</v>
      </c>
      <c r="Z76" s="126">
        <f t="shared" ca="1" si="39"/>
        <v>38</v>
      </c>
      <c r="AA76" s="127">
        <f t="shared" si="40"/>
        <v>52</v>
      </c>
      <c r="AB76" s="128">
        <f t="shared" ca="1" si="41"/>
        <v>344</v>
      </c>
      <c r="AD76" s="25">
        <v>72</v>
      </c>
      <c r="AE76" s="126">
        <f t="shared" ca="1" si="42"/>
        <v>38</v>
      </c>
      <c r="AF76" s="127">
        <f t="shared" si="43"/>
        <v>59</v>
      </c>
      <c r="AG76" s="128">
        <f t="shared" ca="1" si="44"/>
        <v>288</v>
      </c>
      <c r="AI76" s="25">
        <v>72</v>
      </c>
      <c r="AJ76" s="126">
        <f t="shared" ca="1" si="45"/>
        <v>38</v>
      </c>
      <c r="AK76" s="127">
        <f t="shared" si="46"/>
        <v>66</v>
      </c>
      <c r="AL76" s="128">
        <f t="shared" ca="1" si="47"/>
        <v>232</v>
      </c>
    </row>
    <row r="77" spans="12:38">
      <c r="L77" s="25">
        <v>73</v>
      </c>
      <c r="M77" s="125">
        <f t="shared" ca="1" si="32"/>
        <v>0.17599031892026351</v>
      </c>
      <c r="O77" s="25">
        <v>73</v>
      </c>
      <c r="P77" s="126">
        <f t="shared" ca="1" si="33"/>
        <v>45</v>
      </c>
      <c r="Q77" s="127">
        <f t="shared" si="34"/>
        <v>38</v>
      </c>
      <c r="R77" s="128">
        <f t="shared" ca="1" si="35"/>
        <v>456</v>
      </c>
      <c r="T77" s="25">
        <v>73</v>
      </c>
      <c r="U77" s="126">
        <f t="shared" ca="1" si="36"/>
        <v>45</v>
      </c>
      <c r="V77" s="127">
        <f t="shared" si="37"/>
        <v>45</v>
      </c>
      <c r="W77" s="128">
        <f t="shared" ca="1" si="38"/>
        <v>540</v>
      </c>
      <c r="Y77" s="25">
        <v>73</v>
      </c>
      <c r="Z77" s="126">
        <f t="shared" ca="1" si="39"/>
        <v>45</v>
      </c>
      <c r="AA77" s="127">
        <f t="shared" si="40"/>
        <v>52</v>
      </c>
      <c r="AB77" s="128">
        <f t="shared" ca="1" si="41"/>
        <v>484</v>
      </c>
      <c r="AD77" s="25">
        <v>73</v>
      </c>
      <c r="AE77" s="126">
        <f t="shared" ca="1" si="42"/>
        <v>45</v>
      </c>
      <c r="AF77" s="127">
        <f t="shared" si="43"/>
        <v>59</v>
      </c>
      <c r="AG77" s="128">
        <f t="shared" ca="1" si="44"/>
        <v>428</v>
      </c>
      <c r="AI77" s="25">
        <v>73</v>
      </c>
      <c r="AJ77" s="126">
        <f t="shared" ca="1" si="45"/>
        <v>45</v>
      </c>
      <c r="AK77" s="127">
        <f t="shared" si="46"/>
        <v>66</v>
      </c>
      <c r="AL77" s="128">
        <f t="shared" ca="1" si="47"/>
        <v>372</v>
      </c>
    </row>
    <row r="78" spans="12:38">
      <c r="L78" s="25">
        <v>74</v>
      </c>
      <c r="M78" s="125">
        <f t="shared" ca="1" si="32"/>
        <v>0.189703730913371</v>
      </c>
      <c r="O78" s="25">
        <v>74</v>
      </c>
      <c r="P78" s="126">
        <f t="shared" ca="1" si="33"/>
        <v>45</v>
      </c>
      <c r="Q78" s="127">
        <f t="shared" si="34"/>
        <v>38</v>
      </c>
      <c r="R78" s="128">
        <f t="shared" ca="1" si="35"/>
        <v>456</v>
      </c>
      <c r="T78" s="25">
        <v>74</v>
      </c>
      <c r="U78" s="126">
        <f t="shared" ca="1" si="36"/>
        <v>45</v>
      </c>
      <c r="V78" s="127">
        <f t="shared" si="37"/>
        <v>45</v>
      </c>
      <c r="W78" s="128">
        <f t="shared" ca="1" si="38"/>
        <v>540</v>
      </c>
      <c r="Y78" s="25">
        <v>74</v>
      </c>
      <c r="Z78" s="126">
        <f t="shared" ca="1" si="39"/>
        <v>45</v>
      </c>
      <c r="AA78" s="127">
        <f t="shared" si="40"/>
        <v>52</v>
      </c>
      <c r="AB78" s="128">
        <f t="shared" ca="1" si="41"/>
        <v>484</v>
      </c>
      <c r="AD78" s="25">
        <v>74</v>
      </c>
      <c r="AE78" s="126">
        <f t="shared" ca="1" si="42"/>
        <v>45</v>
      </c>
      <c r="AF78" s="127">
        <f t="shared" si="43"/>
        <v>59</v>
      </c>
      <c r="AG78" s="128">
        <f t="shared" ca="1" si="44"/>
        <v>428</v>
      </c>
      <c r="AI78" s="25">
        <v>74</v>
      </c>
      <c r="AJ78" s="126">
        <f t="shared" ca="1" si="45"/>
        <v>45</v>
      </c>
      <c r="AK78" s="127">
        <f t="shared" si="46"/>
        <v>66</v>
      </c>
      <c r="AL78" s="128">
        <f t="shared" ca="1" si="47"/>
        <v>372</v>
      </c>
    </row>
    <row r="79" spans="12:38">
      <c r="L79" s="25">
        <v>75</v>
      </c>
      <c r="M79" s="125">
        <f t="shared" ca="1" si="32"/>
        <v>0.8034241373290546</v>
      </c>
      <c r="O79" s="25">
        <v>75</v>
      </c>
      <c r="P79" s="126">
        <f t="shared" ca="1" si="33"/>
        <v>66</v>
      </c>
      <c r="Q79" s="127">
        <f t="shared" si="34"/>
        <v>38</v>
      </c>
      <c r="R79" s="128">
        <f t="shared" ca="1" si="35"/>
        <v>456</v>
      </c>
      <c r="T79" s="25">
        <v>75</v>
      </c>
      <c r="U79" s="126">
        <f t="shared" ca="1" si="36"/>
        <v>66</v>
      </c>
      <c r="V79" s="127">
        <f t="shared" si="37"/>
        <v>45</v>
      </c>
      <c r="W79" s="128">
        <f t="shared" ca="1" si="38"/>
        <v>540</v>
      </c>
      <c r="Y79" s="25">
        <v>75</v>
      </c>
      <c r="Z79" s="126">
        <f t="shared" ca="1" si="39"/>
        <v>66</v>
      </c>
      <c r="AA79" s="127">
        <f t="shared" si="40"/>
        <v>52</v>
      </c>
      <c r="AB79" s="128">
        <f t="shared" ca="1" si="41"/>
        <v>624</v>
      </c>
      <c r="AD79" s="25">
        <v>75</v>
      </c>
      <c r="AE79" s="126">
        <f t="shared" ca="1" si="42"/>
        <v>66</v>
      </c>
      <c r="AF79" s="127">
        <f t="shared" si="43"/>
        <v>59</v>
      </c>
      <c r="AG79" s="128">
        <f t="shared" ca="1" si="44"/>
        <v>708</v>
      </c>
      <c r="AI79" s="25">
        <v>75</v>
      </c>
      <c r="AJ79" s="126">
        <f t="shared" ca="1" si="45"/>
        <v>66</v>
      </c>
      <c r="AK79" s="127">
        <f t="shared" si="46"/>
        <v>66</v>
      </c>
      <c r="AL79" s="128">
        <f t="shared" ca="1" si="47"/>
        <v>792</v>
      </c>
    </row>
    <row r="80" spans="12:38">
      <c r="L80" s="25">
        <v>76</v>
      </c>
      <c r="M80" s="125">
        <f t="shared" ca="1" si="32"/>
        <v>0.71091973956120513</v>
      </c>
      <c r="O80" s="25">
        <v>76</v>
      </c>
      <c r="P80" s="126">
        <f t="shared" ca="1" si="33"/>
        <v>59</v>
      </c>
      <c r="Q80" s="127">
        <f t="shared" si="34"/>
        <v>38</v>
      </c>
      <c r="R80" s="128">
        <f t="shared" ca="1" si="35"/>
        <v>456</v>
      </c>
      <c r="T80" s="25">
        <v>76</v>
      </c>
      <c r="U80" s="126">
        <f t="shared" ca="1" si="36"/>
        <v>59</v>
      </c>
      <c r="V80" s="127">
        <f t="shared" si="37"/>
        <v>45</v>
      </c>
      <c r="W80" s="128">
        <f t="shared" ca="1" si="38"/>
        <v>540</v>
      </c>
      <c r="Y80" s="25">
        <v>76</v>
      </c>
      <c r="Z80" s="126">
        <f t="shared" ca="1" si="39"/>
        <v>59</v>
      </c>
      <c r="AA80" s="127">
        <f t="shared" si="40"/>
        <v>52</v>
      </c>
      <c r="AB80" s="128">
        <f t="shared" ca="1" si="41"/>
        <v>624</v>
      </c>
      <c r="AD80" s="25">
        <v>76</v>
      </c>
      <c r="AE80" s="126">
        <f t="shared" ca="1" si="42"/>
        <v>59</v>
      </c>
      <c r="AF80" s="127">
        <f t="shared" si="43"/>
        <v>59</v>
      </c>
      <c r="AG80" s="128">
        <f t="shared" ca="1" si="44"/>
        <v>708</v>
      </c>
      <c r="AI80" s="25">
        <v>76</v>
      </c>
      <c r="AJ80" s="126">
        <f t="shared" ca="1" si="45"/>
        <v>59</v>
      </c>
      <c r="AK80" s="127">
        <f t="shared" si="46"/>
        <v>66</v>
      </c>
      <c r="AL80" s="128">
        <f t="shared" ca="1" si="47"/>
        <v>652</v>
      </c>
    </row>
    <row r="81" spans="12:38">
      <c r="L81" s="25">
        <v>77</v>
      </c>
      <c r="M81" s="125">
        <f t="shared" ca="1" si="32"/>
        <v>0.87148726724605619</v>
      </c>
      <c r="O81" s="25">
        <v>77</v>
      </c>
      <c r="P81" s="126">
        <f t="shared" ca="1" si="33"/>
        <v>66</v>
      </c>
      <c r="Q81" s="127">
        <f t="shared" si="34"/>
        <v>38</v>
      </c>
      <c r="R81" s="128">
        <f t="shared" ca="1" si="35"/>
        <v>456</v>
      </c>
      <c r="T81" s="25">
        <v>77</v>
      </c>
      <c r="U81" s="126">
        <f t="shared" ca="1" si="36"/>
        <v>66</v>
      </c>
      <c r="V81" s="127">
        <f t="shared" si="37"/>
        <v>45</v>
      </c>
      <c r="W81" s="128">
        <f t="shared" ca="1" si="38"/>
        <v>540</v>
      </c>
      <c r="Y81" s="25">
        <v>77</v>
      </c>
      <c r="Z81" s="126">
        <f t="shared" ca="1" si="39"/>
        <v>66</v>
      </c>
      <c r="AA81" s="127">
        <f t="shared" si="40"/>
        <v>52</v>
      </c>
      <c r="AB81" s="128">
        <f t="shared" ca="1" si="41"/>
        <v>624</v>
      </c>
      <c r="AD81" s="25">
        <v>77</v>
      </c>
      <c r="AE81" s="126">
        <f t="shared" ca="1" si="42"/>
        <v>66</v>
      </c>
      <c r="AF81" s="127">
        <f t="shared" si="43"/>
        <v>59</v>
      </c>
      <c r="AG81" s="128">
        <f t="shared" ca="1" si="44"/>
        <v>708</v>
      </c>
      <c r="AI81" s="25">
        <v>77</v>
      </c>
      <c r="AJ81" s="126">
        <f t="shared" ca="1" si="45"/>
        <v>66</v>
      </c>
      <c r="AK81" s="127">
        <f t="shared" si="46"/>
        <v>66</v>
      </c>
      <c r="AL81" s="128">
        <f t="shared" ca="1" si="47"/>
        <v>792</v>
      </c>
    </row>
    <row r="82" spans="12:38">
      <c r="L82" s="25">
        <v>78</v>
      </c>
      <c r="M82" s="125">
        <f t="shared" ca="1" si="32"/>
        <v>0.59104295770542481</v>
      </c>
      <c r="O82" s="25">
        <v>78</v>
      </c>
      <c r="P82" s="126">
        <f t="shared" ca="1" si="33"/>
        <v>59</v>
      </c>
      <c r="Q82" s="127">
        <f t="shared" si="34"/>
        <v>38</v>
      </c>
      <c r="R82" s="128">
        <f t="shared" ca="1" si="35"/>
        <v>456</v>
      </c>
      <c r="T82" s="25">
        <v>78</v>
      </c>
      <c r="U82" s="126">
        <f t="shared" ca="1" si="36"/>
        <v>59</v>
      </c>
      <c r="V82" s="127">
        <f t="shared" si="37"/>
        <v>45</v>
      </c>
      <c r="W82" s="128">
        <f t="shared" ca="1" si="38"/>
        <v>540</v>
      </c>
      <c r="Y82" s="25">
        <v>78</v>
      </c>
      <c r="Z82" s="126">
        <f t="shared" ca="1" si="39"/>
        <v>59</v>
      </c>
      <c r="AA82" s="127">
        <f t="shared" si="40"/>
        <v>52</v>
      </c>
      <c r="AB82" s="128">
        <f t="shared" ca="1" si="41"/>
        <v>624</v>
      </c>
      <c r="AD82" s="25">
        <v>78</v>
      </c>
      <c r="AE82" s="126">
        <f t="shared" ca="1" si="42"/>
        <v>59</v>
      </c>
      <c r="AF82" s="127">
        <f t="shared" si="43"/>
        <v>59</v>
      </c>
      <c r="AG82" s="128">
        <f t="shared" ca="1" si="44"/>
        <v>708</v>
      </c>
      <c r="AI82" s="25">
        <v>78</v>
      </c>
      <c r="AJ82" s="126">
        <f t="shared" ca="1" si="45"/>
        <v>59</v>
      </c>
      <c r="AK82" s="127">
        <f t="shared" si="46"/>
        <v>66</v>
      </c>
      <c r="AL82" s="128">
        <f t="shared" ca="1" si="47"/>
        <v>652</v>
      </c>
    </row>
    <row r="83" spans="12:38">
      <c r="L83" s="25">
        <v>79</v>
      </c>
      <c r="M83" s="125">
        <f t="shared" ca="1" si="32"/>
        <v>0.44360247140921083</v>
      </c>
      <c r="O83" s="25">
        <v>79</v>
      </c>
      <c r="P83" s="126">
        <f t="shared" ca="1" si="33"/>
        <v>52</v>
      </c>
      <c r="Q83" s="127">
        <f t="shared" si="34"/>
        <v>38</v>
      </c>
      <c r="R83" s="128">
        <f t="shared" ca="1" si="35"/>
        <v>456</v>
      </c>
      <c r="T83" s="25">
        <v>79</v>
      </c>
      <c r="U83" s="126">
        <f t="shared" ca="1" si="36"/>
        <v>52</v>
      </c>
      <c r="V83" s="127">
        <f t="shared" si="37"/>
        <v>45</v>
      </c>
      <c r="W83" s="128">
        <f t="shared" ca="1" si="38"/>
        <v>540</v>
      </c>
      <c r="Y83" s="25">
        <v>79</v>
      </c>
      <c r="Z83" s="126">
        <f t="shared" ca="1" si="39"/>
        <v>52</v>
      </c>
      <c r="AA83" s="127">
        <f t="shared" si="40"/>
        <v>52</v>
      </c>
      <c r="AB83" s="128">
        <f t="shared" ca="1" si="41"/>
        <v>624</v>
      </c>
      <c r="AD83" s="25">
        <v>79</v>
      </c>
      <c r="AE83" s="126">
        <f t="shared" ca="1" si="42"/>
        <v>52</v>
      </c>
      <c r="AF83" s="127">
        <f t="shared" si="43"/>
        <v>59</v>
      </c>
      <c r="AG83" s="128">
        <f t="shared" ca="1" si="44"/>
        <v>568</v>
      </c>
      <c r="AI83" s="25">
        <v>79</v>
      </c>
      <c r="AJ83" s="126">
        <f t="shared" ca="1" si="45"/>
        <v>52</v>
      </c>
      <c r="AK83" s="127">
        <f t="shared" si="46"/>
        <v>66</v>
      </c>
      <c r="AL83" s="128">
        <f t="shared" ca="1" si="47"/>
        <v>512</v>
      </c>
    </row>
    <row r="84" spans="12:38">
      <c r="L84" s="25">
        <v>80</v>
      </c>
      <c r="M84" s="125">
        <f t="shared" ca="1" si="32"/>
        <v>0.58722700653821647</v>
      </c>
      <c r="O84" s="25">
        <v>80</v>
      </c>
      <c r="P84" s="126">
        <f t="shared" ca="1" si="33"/>
        <v>59</v>
      </c>
      <c r="Q84" s="127">
        <f t="shared" si="34"/>
        <v>38</v>
      </c>
      <c r="R84" s="128">
        <f t="shared" ca="1" si="35"/>
        <v>456</v>
      </c>
      <c r="T84" s="25">
        <v>80</v>
      </c>
      <c r="U84" s="126">
        <f t="shared" ca="1" si="36"/>
        <v>59</v>
      </c>
      <c r="V84" s="127">
        <f t="shared" si="37"/>
        <v>45</v>
      </c>
      <c r="W84" s="128">
        <f t="shared" ca="1" si="38"/>
        <v>540</v>
      </c>
      <c r="Y84" s="25">
        <v>80</v>
      </c>
      <c r="Z84" s="126">
        <f t="shared" ca="1" si="39"/>
        <v>59</v>
      </c>
      <c r="AA84" s="127">
        <f t="shared" si="40"/>
        <v>52</v>
      </c>
      <c r="AB84" s="128">
        <f t="shared" ca="1" si="41"/>
        <v>624</v>
      </c>
      <c r="AD84" s="25">
        <v>80</v>
      </c>
      <c r="AE84" s="126">
        <f t="shared" ca="1" si="42"/>
        <v>59</v>
      </c>
      <c r="AF84" s="127">
        <f t="shared" si="43"/>
        <v>59</v>
      </c>
      <c r="AG84" s="128">
        <f t="shared" ca="1" si="44"/>
        <v>708</v>
      </c>
      <c r="AI84" s="25">
        <v>80</v>
      </c>
      <c r="AJ84" s="126">
        <f t="shared" ca="1" si="45"/>
        <v>59</v>
      </c>
      <c r="AK84" s="127">
        <f t="shared" si="46"/>
        <v>66</v>
      </c>
      <c r="AL84" s="128">
        <f t="shared" ca="1" si="47"/>
        <v>652</v>
      </c>
    </row>
    <row r="85" spans="12:38">
      <c r="L85" s="25">
        <v>81</v>
      </c>
      <c r="M85" s="125">
        <f t="shared" ca="1" si="32"/>
        <v>0.10081372230907426</v>
      </c>
      <c r="O85" s="25">
        <v>81</v>
      </c>
      <c r="P85" s="126">
        <f t="shared" ca="1" si="33"/>
        <v>45</v>
      </c>
      <c r="Q85" s="127">
        <f t="shared" si="34"/>
        <v>38</v>
      </c>
      <c r="R85" s="128">
        <f t="shared" ca="1" si="35"/>
        <v>456</v>
      </c>
      <c r="T85" s="25">
        <v>81</v>
      </c>
      <c r="U85" s="126">
        <f t="shared" ca="1" si="36"/>
        <v>45</v>
      </c>
      <c r="V85" s="127">
        <f t="shared" si="37"/>
        <v>45</v>
      </c>
      <c r="W85" s="128">
        <f t="shared" ca="1" si="38"/>
        <v>540</v>
      </c>
      <c r="Y85" s="25">
        <v>81</v>
      </c>
      <c r="Z85" s="126">
        <f t="shared" ca="1" si="39"/>
        <v>45</v>
      </c>
      <c r="AA85" s="127">
        <f t="shared" si="40"/>
        <v>52</v>
      </c>
      <c r="AB85" s="128">
        <f t="shared" ca="1" si="41"/>
        <v>484</v>
      </c>
      <c r="AD85" s="25">
        <v>81</v>
      </c>
      <c r="AE85" s="126">
        <f t="shared" ca="1" si="42"/>
        <v>45</v>
      </c>
      <c r="AF85" s="127">
        <f t="shared" si="43"/>
        <v>59</v>
      </c>
      <c r="AG85" s="128">
        <f t="shared" ca="1" si="44"/>
        <v>428</v>
      </c>
      <c r="AI85" s="25">
        <v>81</v>
      </c>
      <c r="AJ85" s="126">
        <f t="shared" ca="1" si="45"/>
        <v>45</v>
      </c>
      <c r="AK85" s="127">
        <f t="shared" si="46"/>
        <v>66</v>
      </c>
      <c r="AL85" s="128">
        <f t="shared" ca="1" si="47"/>
        <v>372</v>
      </c>
    </row>
    <row r="86" spans="12:38">
      <c r="L86" s="25">
        <v>82</v>
      </c>
      <c r="M86" s="125">
        <f t="shared" ca="1" si="32"/>
        <v>0.63067731446256292</v>
      </c>
      <c r="O86" s="25">
        <v>82</v>
      </c>
      <c r="P86" s="126">
        <f t="shared" ca="1" si="33"/>
        <v>59</v>
      </c>
      <c r="Q86" s="127">
        <f t="shared" si="34"/>
        <v>38</v>
      </c>
      <c r="R86" s="128">
        <f t="shared" ca="1" si="35"/>
        <v>456</v>
      </c>
      <c r="T86" s="25">
        <v>82</v>
      </c>
      <c r="U86" s="126">
        <f t="shared" ca="1" si="36"/>
        <v>59</v>
      </c>
      <c r="V86" s="127">
        <f t="shared" si="37"/>
        <v>45</v>
      </c>
      <c r="W86" s="128">
        <f t="shared" ca="1" si="38"/>
        <v>540</v>
      </c>
      <c r="Y86" s="25">
        <v>82</v>
      </c>
      <c r="Z86" s="126">
        <f t="shared" ca="1" si="39"/>
        <v>59</v>
      </c>
      <c r="AA86" s="127">
        <f t="shared" si="40"/>
        <v>52</v>
      </c>
      <c r="AB86" s="128">
        <f t="shared" ca="1" si="41"/>
        <v>624</v>
      </c>
      <c r="AD86" s="25">
        <v>82</v>
      </c>
      <c r="AE86" s="126">
        <f t="shared" ca="1" si="42"/>
        <v>59</v>
      </c>
      <c r="AF86" s="127">
        <f t="shared" si="43"/>
        <v>59</v>
      </c>
      <c r="AG86" s="128">
        <f t="shared" ca="1" si="44"/>
        <v>708</v>
      </c>
      <c r="AI86" s="25">
        <v>82</v>
      </c>
      <c r="AJ86" s="126">
        <f t="shared" ca="1" si="45"/>
        <v>59</v>
      </c>
      <c r="AK86" s="127">
        <f t="shared" si="46"/>
        <v>66</v>
      </c>
      <c r="AL86" s="128">
        <f t="shared" ca="1" si="47"/>
        <v>652</v>
      </c>
    </row>
    <row r="87" spans="12:38">
      <c r="L87" s="25">
        <v>83</v>
      </c>
      <c r="M87" s="125">
        <f t="shared" ca="1" si="32"/>
        <v>2.3397007737995579E-2</v>
      </c>
      <c r="O87" s="25">
        <v>83</v>
      </c>
      <c r="P87" s="126">
        <f t="shared" ca="1" si="33"/>
        <v>38</v>
      </c>
      <c r="Q87" s="127">
        <f t="shared" si="34"/>
        <v>38</v>
      </c>
      <c r="R87" s="128">
        <f t="shared" ca="1" si="35"/>
        <v>456</v>
      </c>
      <c r="T87" s="25">
        <v>83</v>
      </c>
      <c r="U87" s="126">
        <f t="shared" ca="1" si="36"/>
        <v>38</v>
      </c>
      <c r="V87" s="127">
        <f t="shared" si="37"/>
        <v>45</v>
      </c>
      <c r="W87" s="128">
        <f t="shared" ca="1" si="38"/>
        <v>400</v>
      </c>
      <c r="Y87" s="25">
        <v>83</v>
      </c>
      <c r="Z87" s="126">
        <f t="shared" ca="1" si="39"/>
        <v>38</v>
      </c>
      <c r="AA87" s="127">
        <f t="shared" si="40"/>
        <v>52</v>
      </c>
      <c r="AB87" s="128">
        <f t="shared" ca="1" si="41"/>
        <v>344</v>
      </c>
      <c r="AD87" s="25">
        <v>83</v>
      </c>
      <c r="AE87" s="126">
        <f t="shared" ca="1" si="42"/>
        <v>38</v>
      </c>
      <c r="AF87" s="127">
        <f t="shared" si="43"/>
        <v>59</v>
      </c>
      <c r="AG87" s="128">
        <f t="shared" ca="1" si="44"/>
        <v>288</v>
      </c>
      <c r="AI87" s="25">
        <v>83</v>
      </c>
      <c r="AJ87" s="126">
        <f t="shared" ca="1" si="45"/>
        <v>38</v>
      </c>
      <c r="AK87" s="127">
        <f t="shared" si="46"/>
        <v>66</v>
      </c>
      <c r="AL87" s="128">
        <f t="shared" ca="1" si="47"/>
        <v>232</v>
      </c>
    </row>
    <row r="88" spans="12:38">
      <c r="L88" s="25">
        <v>84</v>
      </c>
      <c r="M88" s="125">
        <f t="shared" ca="1" si="32"/>
        <v>0.72555949186858004</v>
      </c>
      <c r="O88" s="25">
        <v>84</v>
      </c>
      <c r="P88" s="126">
        <f t="shared" ca="1" si="33"/>
        <v>59</v>
      </c>
      <c r="Q88" s="127">
        <f t="shared" si="34"/>
        <v>38</v>
      </c>
      <c r="R88" s="128">
        <f t="shared" ca="1" si="35"/>
        <v>456</v>
      </c>
      <c r="T88" s="25">
        <v>84</v>
      </c>
      <c r="U88" s="126">
        <f t="shared" ca="1" si="36"/>
        <v>59</v>
      </c>
      <c r="V88" s="127">
        <f t="shared" si="37"/>
        <v>45</v>
      </c>
      <c r="W88" s="128">
        <f t="shared" ca="1" si="38"/>
        <v>540</v>
      </c>
      <c r="Y88" s="25">
        <v>84</v>
      </c>
      <c r="Z88" s="126">
        <f t="shared" ca="1" si="39"/>
        <v>59</v>
      </c>
      <c r="AA88" s="127">
        <f t="shared" si="40"/>
        <v>52</v>
      </c>
      <c r="AB88" s="128">
        <f t="shared" ca="1" si="41"/>
        <v>624</v>
      </c>
      <c r="AD88" s="25">
        <v>84</v>
      </c>
      <c r="AE88" s="126">
        <f t="shared" ca="1" si="42"/>
        <v>59</v>
      </c>
      <c r="AF88" s="127">
        <f t="shared" si="43"/>
        <v>59</v>
      </c>
      <c r="AG88" s="128">
        <f t="shared" ca="1" si="44"/>
        <v>708</v>
      </c>
      <c r="AI88" s="25">
        <v>84</v>
      </c>
      <c r="AJ88" s="126">
        <f t="shared" ca="1" si="45"/>
        <v>59</v>
      </c>
      <c r="AK88" s="127">
        <f t="shared" si="46"/>
        <v>66</v>
      </c>
      <c r="AL88" s="128">
        <f t="shared" ca="1" si="47"/>
        <v>652</v>
      </c>
    </row>
    <row r="89" spans="12:38">
      <c r="L89" s="25">
        <v>85</v>
      </c>
      <c r="M89" s="125">
        <f t="shared" ca="1" si="32"/>
        <v>0.79768388149037561</v>
      </c>
      <c r="O89" s="25">
        <v>85</v>
      </c>
      <c r="P89" s="126">
        <f t="shared" ca="1" si="33"/>
        <v>66</v>
      </c>
      <c r="Q89" s="127">
        <f t="shared" si="34"/>
        <v>38</v>
      </c>
      <c r="R89" s="128">
        <f t="shared" ca="1" si="35"/>
        <v>456</v>
      </c>
      <c r="T89" s="25">
        <v>85</v>
      </c>
      <c r="U89" s="126">
        <f t="shared" ca="1" si="36"/>
        <v>66</v>
      </c>
      <c r="V89" s="127">
        <f t="shared" si="37"/>
        <v>45</v>
      </c>
      <c r="W89" s="128">
        <f t="shared" ca="1" si="38"/>
        <v>540</v>
      </c>
      <c r="Y89" s="25">
        <v>85</v>
      </c>
      <c r="Z89" s="126">
        <f t="shared" ca="1" si="39"/>
        <v>66</v>
      </c>
      <c r="AA89" s="127">
        <f t="shared" si="40"/>
        <v>52</v>
      </c>
      <c r="AB89" s="128">
        <f t="shared" ca="1" si="41"/>
        <v>624</v>
      </c>
      <c r="AD89" s="25">
        <v>85</v>
      </c>
      <c r="AE89" s="126">
        <f t="shared" ca="1" si="42"/>
        <v>66</v>
      </c>
      <c r="AF89" s="127">
        <f t="shared" si="43"/>
        <v>59</v>
      </c>
      <c r="AG89" s="128">
        <f t="shared" ca="1" si="44"/>
        <v>708</v>
      </c>
      <c r="AI89" s="25">
        <v>85</v>
      </c>
      <c r="AJ89" s="126">
        <f t="shared" ca="1" si="45"/>
        <v>66</v>
      </c>
      <c r="AK89" s="127">
        <f t="shared" si="46"/>
        <v>66</v>
      </c>
      <c r="AL89" s="128">
        <f t="shared" ca="1" si="47"/>
        <v>792</v>
      </c>
    </row>
    <row r="90" spans="12:38">
      <c r="L90" s="25">
        <v>86</v>
      </c>
      <c r="M90" s="125">
        <f t="shared" ca="1" si="32"/>
        <v>6.0554884646559337E-2</v>
      </c>
      <c r="O90" s="25">
        <v>86</v>
      </c>
      <c r="P90" s="126">
        <f t="shared" ca="1" si="33"/>
        <v>38</v>
      </c>
      <c r="Q90" s="127">
        <f t="shared" si="34"/>
        <v>38</v>
      </c>
      <c r="R90" s="128">
        <f t="shared" ca="1" si="35"/>
        <v>456</v>
      </c>
      <c r="T90" s="25">
        <v>86</v>
      </c>
      <c r="U90" s="126">
        <f t="shared" ca="1" si="36"/>
        <v>38</v>
      </c>
      <c r="V90" s="127">
        <f t="shared" si="37"/>
        <v>45</v>
      </c>
      <c r="W90" s="128">
        <f t="shared" ca="1" si="38"/>
        <v>400</v>
      </c>
      <c r="Y90" s="25">
        <v>86</v>
      </c>
      <c r="Z90" s="126">
        <f t="shared" ca="1" si="39"/>
        <v>38</v>
      </c>
      <c r="AA90" s="127">
        <f t="shared" si="40"/>
        <v>52</v>
      </c>
      <c r="AB90" s="128">
        <f t="shared" ca="1" si="41"/>
        <v>344</v>
      </c>
      <c r="AD90" s="25">
        <v>86</v>
      </c>
      <c r="AE90" s="126">
        <f t="shared" ca="1" si="42"/>
        <v>38</v>
      </c>
      <c r="AF90" s="127">
        <f t="shared" si="43"/>
        <v>59</v>
      </c>
      <c r="AG90" s="128">
        <f t="shared" ca="1" si="44"/>
        <v>288</v>
      </c>
      <c r="AI90" s="25">
        <v>86</v>
      </c>
      <c r="AJ90" s="126">
        <f t="shared" ca="1" si="45"/>
        <v>38</v>
      </c>
      <c r="AK90" s="127">
        <f t="shared" si="46"/>
        <v>66</v>
      </c>
      <c r="AL90" s="128">
        <f t="shared" ca="1" si="47"/>
        <v>232</v>
      </c>
    </row>
    <row r="91" spans="12:38">
      <c r="L91" s="25">
        <v>87</v>
      </c>
      <c r="M91" s="125">
        <f t="shared" ca="1" si="32"/>
        <v>9.7140935952830576E-2</v>
      </c>
      <c r="O91" s="25">
        <v>87</v>
      </c>
      <c r="P91" s="126">
        <f t="shared" ca="1" si="33"/>
        <v>38</v>
      </c>
      <c r="Q91" s="127">
        <f t="shared" si="34"/>
        <v>38</v>
      </c>
      <c r="R91" s="128">
        <f t="shared" ca="1" si="35"/>
        <v>456</v>
      </c>
      <c r="T91" s="25">
        <v>87</v>
      </c>
      <c r="U91" s="126">
        <f t="shared" ca="1" si="36"/>
        <v>38</v>
      </c>
      <c r="V91" s="127">
        <f t="shared" si="37"/>
        <v>45</v>
      </c>
      <c r="W91" s="128">
        <f t="shared" ca="1" si="38"/>
        <v>400</v>
      </c>
      <c r="Y91" s="25">
        <v>87</v>
      </c>
      <c r="Z91" s="126">
        <f t="shared" ca="1" si="39"/>
        <v>38</v>
      </c>
      <c r="AA91" s="127">
        <f t="shared" si="40"/>
        <v>52</v>
      </c>
      <c r="AB91" s="128">
        <f t="shared" ca="1" si="41"/>
        <v>344</v>
      </c>
      <c r="AD91" s="25">
        <v>87</v>
      </c>
      <c r="AE91" s="126">
        <f t="shared" ca="1" si="42"/>
        <v>38</v>
      </c>
      <c r="AF91" s="127">
        <f t="shared" si="43"/>
        <v>59</v>
      </c>
      <c r="AG91" s="128">
        <f t="shared" ca="1" si="44"/>
        <v>288</v>
      </c>
      <c r="AI91" s="25">
        <v>87</v>
      </c>
      <c r="AJ91" s="126">
        <f t="shared" ca="1" si="45"/>
        <v>38</v>
      </c>
      <c r="AK91" s="127">
        <f t="shared" si="46"/>
        <v>66</v>
      </c>
      <c r="AL91" s="128">
        <f t="shared" ca="1" si="47"/>
        <v>232</v>
      </c>
    </row>
    <row r="92" spans="12:38">
      <c r="L92" s="25">
        <v>88</v>
      </c>
      <c r="M92" s="125">
        <f t="shared" ca="1" si="32"/>
        <v>0.83667110303224534</v>
      </c>
      <c r="O92" s="25">
        <v>88</v>
      </c>
      <c r="P92" s="126">
        <f t="shared" ca="1" si="33"/>
        <v>66</v>
      </c>
      <c r="Q92" s="127">
        <f t="shared" si="34"/>
        <v>38</v>
      </c>
      <c r="R92" s="128">
        <f t="shared" ca="1" si="35"/>
        <v>456</v>
      </c>
      <c r="T92" s="25">
        <v>88</v>
      </c>
      <c r="U92" s="126">
        <f t="shared" ca="1" si="36"/>
        <v>66</v>
      </c>
      <c r="V92" s="127">
        <f t="shared" si="37"/>
        <v>45</v>
      </c>
      <c r="W92" s="128">
        <f t="shared" ca="1" si="38"/>
        <v>540</v>
      </c>
      <c r="Y92" s="25">
        <v>88</v>
      </c>
      <c r="Z92" s="126">
        <f t="shared" ca="1" si="39"/>
        <v>66</v>
      </c>
      <c r="AA92" s="127">
        <f t="shared" si="40"/>
        <v>52</v>
      </c>
      <c r="AB92" s="128">
        <f t="shared" ca="1" si="41"/>
        <v>624</v>
      </c>
      <c r="AD92" s="25">
        <v>88</v>
      </c>
      <c r="AE92" s="126">
        <f t="shared" ca="1" si="42"/>
        <v>66</v>
      </c>
      <c r="AF92" s="127">
        <f t="shared" si="43"/>
        <v>59</v>
      </c>
      <c r="AG92" s="128">
        <f t="shared" ca="1" si="44"/>
        <v>708</v>
      </c>
      <c r="AI92" s="25">
        <v>88</v>
      </c>
      <c r="AJ92" s="126">
        <f t="shared" ca="1" si="45"/>
        <v>66</v>
      </c>
      <c r="AK92" s="127">
        <f t="shared" si="46"/>
        <v>66</v>
      </c>
      <c r="AL92" s="128">
        <f t="shared" ca="1" si="47"/>
        <v>792</v>
      </c>
    </row>
    <row r="93" spans="12:38">
      <c r="L93" s="25">
        <v>89</v>
      </c>
      <c r="M93" s="125">
        <f t="shared" ca="1" si="32"/>
        <v>0.1467553132162609</v>
      </c>
      <c r="O93" s="25">
        <v>89</v>
      </c>
      <c r="P93" s="126">
        <f t="shared" ca="1" si="33"/>
        <v>45</v>
      </c>
      <c r="Q93" s="127">
        <f t="shared" si="34"/>
        <v>38</v>
      </c>
      <c r="R93" s="128">
        <f t="shared" ca="1" si="35"/>
        <v>456</v>
      </c>
      <c r="T93" s="25">
        <v>89</v>
      </c>
      <c r="U93" s="126">
        <f t="shared" ca="1" si="36"/>
        <v>45</v>
      </c>
      <c r="V93" s="127">
        <f t="shared" si="37"/>
        <v>45</v>
      </c>
      <c r="W93" s="128">
        <f t="shared" ca="1" si="38"/>
        <v>540</v>
      </c>
      <c r="Y93" s="25">
        <v>89</v>
      </c>
      <c r="Z93" s="126">
        <f t="shared" ca="1" si="39"/>
        <v>45</v>
      </c>
      <c r="AA93" s="127">
        <f t="shared" si="40"/>
        <v>52</v>
      </c>
      <c r="AB93" s="128">
        <f t="shared" ca="1" si="41"/>
        <v>484</v>
      </c>
      <c r="AD93" s="25">
        <v>89</v>
      </c>
      <c r="AE93" s="126">
        <f t="shared" ca="1" si="42"/>
        <v>45</v>
      </c>
      <c r="AF93" s="127">
        <f t="shared" si="43"/>
        <v>59</v>
      </c>
      <c r="AG93" s="128">
        <f t="shared" ca="1" si="44"/>
        <v>428</v>
      </c>
      <c r="AI93" s="25">
        <v>89</v>
      </c>
      <c r="AJ93" s="126">
        <f t="shared" ca="1" si="45"/>
        <v>45</v>
      </c>
      <c r="AK93" s="127">
        <f t="shared" si="46"/>
        <v>66</v>
      </c>
      <c r="AL93" s="128">
        <f t="shared" ca="1" si="47"/>
        <v>372</v>
      </c>
    </row>
    <row r="94" spans="12:38">
      <c r="L94" s="25">
        <v>90</v>
      </c>
      <c r="M94" s="125">
        <f t="shared" ca="1" si="32"/>
        <v>0.51544830000636432</v>
      </c>
      <c r="O94" s="25">
        <v>90</v>
      </c>
      <c r="P94" s="126">
        <f t="shared" ca="1" si="33"/>
        <v>59</v>
      </c>
      <c r="Q94" s="127">
        <f t="shared" si="34"/>
        <v>38</v>
      </c>
      <c r="R94" s="128">
        <f t="shared" ca="1" si="35"/>
        <v>456</v>
      </c>
      <c r="T94" s="25">
        <v>90</v>
      </c>
      <c r="U94" s="126">
        <f t="shared" ca="1" si="36"/>
        <v>59</v>
      </c>
      <c r="V94" s="127">
        <f t="shared" si="37"/>
        <v>45</v>
      </c>
      <c r="W94" s="128">
        <f t="shared" ca="1" si="38"/>
        <v>540</v>
      </c>
      <c r="Y94" s="25">
        <v>90</v>
      </c>
      <c r="Z94" s="126">
        <f t="shared" ca="1" si="39"/>
        <v>59</v>
      </c>
      <c r="AA94" s="127">
        <f t="shared" si="40"/>
        <v>52</v>
      </c>
      <c r="AB94" s="128">
        <f t="shared" ca="1" si="41"/>
        <v>624</v>
      </c>
      <c r="AD94" s="25">
        <v>90</v>
      </c>
      <c r="AE94" s="126">
        <f t="shared" ca="1" si="42"/>
        <v>59</v>
      </c>
      <c r="AF94" s="127">
        <f t="shared" si="43"/>
        <v>59</v>
      </c>
      <c r="AG94" s="128">
        <f t="shared" ca="1" si="44"/>
        <v>708</v>
      </c>
      <c r="AI94" s="25">
        <v>90</v>
      </c>
      <c r="AJ94" s="126">
        <f t="shared" ca="1" si="45"/>
        <v>59</v>
      </c>
      <c r="AK94" s="127">
        <f t="shared" si="46"/>
        <v>66</v>
      </c>
      <c r="AL94" s="128">
        <f t="shared" ca="1" si="47"/>
        <v>652</v>
      </c>
    </row>
    <row r="95" spans="12:38">
      <c r="L95" s="25">
        <v>91</v>
      </c>
      <c r="M95" s="125">
        <f t="shared" ca="1" si="32"/>
        <v>0.80347244114676575</v>
      </c>
      <c r="O95" s="25">
        <v>91</v>
      </c>
      <c r="P95" s="126">
        <f t="shared" ca="1" si="33"/>
        <v>66</v>
      </c>
      <c r="Q95" s="127">
        <f t="shared" si="34"/>
        <v>38</v>
      </c>
      <c r="R95" s="128">
        <f t="shared" ca="1" si="35"/>
        <v>456</v>
      </c>
      <c r="T95" s="25">
        <v>91</v>
      </c>
      <c r="U95" s="126">
        <f t="shared" ca="1" si="36"/>
        <v>66</v>
      </c>
      <c r="V95" s="127">
        <f t="shared" si="37"/>
        <v>45</v>
      </c>
      <c r="W95" s="128">
        <f t="shared" ca="1" si="38"/>
        <v>540</v>
      </c>
      <c r="Y95" s="25">
        <v>91</v>
      </c>
      <c r="Z95" s="126">
        <f t="shared" ca="1" si="39"/>
        <v>66</v>
      </c>
      <c r="AA95" s="127">
        <f t="shared" si="40"/>
        <v>52</v>
      </c>
      <c r="AB95" s="128">
        <f t="shared" ca="1" si="41"/>
        <v>624</v>
      </c>
      <c r="AD95" s="25">
        <v>91</v>
      </c>
      <c r="AE95" s="126">
        <f t="shared" ca="1" si="42"/>
        <v>66</v>
      </c>
      <c r="AF95" s="127">
        <f t="shared" si="43"/>
        <v>59</v>
      </c>
      <c r="AG95" s="128">
        <f t="shared" ca="1" si="44"/>
        <v>708</v>
      </c>
      <c r="AI95" s="25">
        <v>91</v>
      </c>
      <c r="AJ95" s="126">
        <f t="shared" ca="1" si="45"/>
        <v>66</v>
      </c>
      <c r="AK95" s="127">
        <f t="shared" si="46"/>
        <v>66</v>
      </c>
      <c r="AL95" s="128">
        <f t="shared" ca="1" si="47"/>
        <v>792</v>
      </c>
    </row>
    <row r="96" spans="12:38">
      <c r="L96" s="25">
        <v>92</v>
      </c>
      <c r="M96" s="125">
        <f t="shared" ca="1" si="32"/>
        <v>5.5104162638538456E-3</v>
      </c>
      <c r="O96" s="25">
        <v>92</v>
      </c>
      <c r="P96" s="126">
        <f t="shared" ca="1" si="33"/>
        <v>38</v>
      </c>
      <c r="Q96" s="127">
        <f t="shared" si="34"/>
        <v>38</v>
      </c>
      <c r="R96" s="128">
        <f t="shared" ca="1" si="35"/>
        <v>456</v>
      </c>
      <c r="T96" s="25">
        <v>92</v>
      </c>
      <c r="U96" s="126">
        <f t="shared" ca="1" si="36"/>
        <v>38</v>
      </c>
      <c r="V96" s="127">
        <f t="shared" si="37"/>
        <v>45</v>
      </c>
      <c r="W96" s="128">
        <f t="shared" ca="1" si="38"/>
        <v>400</v>
      </c>
      <c r="Y96" s="25">
        <v>92</v>
      </c>
      <c r="Z96" s="126">
        <f t="shared" ca="1" si="39"/>
        <v>38</v>
      </c>
      <c r="AA96" s="127">
        <f t="shared" si="40"/>
        <v>52</v>
      </c>
      <c r="AB96" s="128">
        <f t="shared" ca="1" si="41"/>
        <v>344</v>
      </c>
      <c r="AD96" s="25">
        <v>92</v>
      </c>
      <c r="AE96" s="126">
        <f t="shared" ca="1" si="42"/>
        <v>38</v>
      </c>
      <c r="AF96" s="127">
        <f t="shared" si="43"/>
        <v>59</v>
      </c>
      <c r="AG96" s="128">
        <f t="shared" ca="1" si="44"/>
        <v>288</v>
      </c>
      <c r="AI96" s="25">
        <v>92</v>
      </c>
      <c r="AJ96" s="126">
        <f t="shared" ca="1" si="45"/>
        <v>38</v>
      </c>
      <c r="AK96" s="127">
        <f t="shared" si="46"/>
        <v>66</v>
      </c>
      <c r="AL96" s="128">
        <f t="shared" ca="1" si="47"/>
        <v>232</v>
      </c>
    </row>
    <row r="97" spans="12:38">
      <c r="L97" s="25">
        <v>93</v>
      </c>
      <c r="M97" s="125">
        <f t="shared" ca="1" si="32"/>
        <v>0.66341595697648781</v>
      </c>
      <c r="O97" s="25">
        <v>93</v>
      </c>
      <c r="P97" s="126">
        <f t="shared" ca="1" si="33"/>
        <v>59</v>
      </c>
      <c r="Q97" s="127">
        <f t="shared" si="34"/>
        <v>38</v>
      </c>
      <c r="R97" s="128">
        <f t="shared" ca="1" si="35"/>
        <v>456</v>
      </c>
      <c r="T97" s="25">
        <v>93</v>
      </c>
      <c r="U97" s="126">
        <f t="shared" ca="1" si="36"/>
        <v>59</v>
      </c>
      <c r="V97" s="127">
        <f t="shared" si="37"/>
        <v>45</v>
      </c>
      <c r="W97" s="128">
        <f t="shared" ca="1" si="38"/>
        <v>540</v>
      </c>
      <c r="Y97" s="25">
        <v>93</v>
      </c>
      <c r="Z97" s="126">
        <f t="shared" ca="1" si="39"/>
        <v>59</v>
      </c>
      <c r="AA97" s="127">
        <f t="shared" si="40"/>
        <v>52</v>
      </c>
      <c r="AB97" s="128">
        <f t="shared" ca="1" si="41"/>
        <v>624</v>
      </c>
      <c r="AD97" s="25">
        <v>93</v>
      </c>
      <c r="AE97" s="126">
        <f t="shared" ca="1" si="42"/>
        <v>59</v>
      </c>
      <c r="AF97" s="127">
        <f t="shared" si="43"/>
        <v>59</v>
      </c>
      <c r="AG97" s="128">
        <f t="shared" ca="1" si="44"/>
        <v>708</v>
      </c>
      <c r="AI97" s="25">
        <v>93</v>
      </c>
      <c r="AJ97" s="126">
        <f t="shared" ca="1" si="45"/>
        <v>59</v>
      </c>
      <c r="AK97" s="127">
        <f t="shared" si="46"/>
        <v>66</v>
      </c>
      <c r="AL97" s="128">
        <f t="shared" ca="1" si="47"/>
        <v>652</v>
      </c>
    </row>
    <row r="98" spans="12:38">
      <c r="L98" s="25">
        <v>94</v>
      </c>
      <c r="M98" s="125">
        <f t="shared" ca="1" si="32"/>
        <v>0.24900645693107193</v>
      </c>
      <c r="O98" s="25">
        <v>94</v>
      </c>
      <c r="P98" s="126">
        <f t="shared" ca="1" si="33"/>
        <v>45</v>
      </c>
      <c r="Q98" s="127">
        <f t="shared" si="34"/>
        <v>38</v>
      </c>
      <c r="R98" s="128">
        <f t="shared" ca="1" si="35"/>
        <v>456</v>
      </c>
      <c r="T98" s="25">
        <v>94</v>
      </c>
      <c r="U98" s="126">
        <f t="shared" ca="1" si="36"/>
        <v>45</v>
      </c>
      <c r="V98" s="127">
        <f t="shared" si="37"/>
        <v>45</v>
      </c>
      <c r="W98" s="128">
        <f t="shared" ca="1" si="38"/>
        <v>540</v>
      </c>
      <c r="Y98" s="25">
        <v>94</v>
      </c>
      <c r="Z98" s="126">
        <f t="shared" ca="1" si="39"/>
        <v>45</v>
      </c>
      <c r="AA98" s="127">
        <f t="shared" si="40"/>
        <v>52</v>
      </c>
      <c r="AB98" s="128">
        <f t="shared" ca="1" si="41"/>
        <v>484</v>
      </c>
      <c r="AD98" s="25">
        <v>94</v>
      </c>
      <c r="AE98" s="126">
        <f t="shared" ca="1" si="42"/>
        <v>45</v>
      </c>
      <c r="AF98" s="127">
        <f t="shared" si="43"/>
        <v>59</v>
      </c>
      <c r="AG98" s="128">
        <f t="shared" ca="1" si="44"/>
        <v>428</v>
      </c>
      <c r="AI98" s="25">
        <v>94</v>
      </c>
      <c r="AJ98" s="126">
        <f t="shared" ca="1" si="45"/>
        <v>45</v>
      </c>
      <c r="AK98" s="127">
        <f t="shared" si="46"/>
        <v>66</v>
      </c>
      <c r="AL98" s="128">
        <f t="shared" ca="1" si="47"/>
        <v>372</v>
      </c>
    </row>
    <row r="99" spans="12:38">
      <c r="L99" s="25">
        <v>95</v>
      </c>
      <c r="M99" s="125">
        <f t="shared" ca="1" si="32"/>
        <v>0.14361256135029654</v>
      </c>
      <c r="O99" s="25">
        <v>95</v>
      </c>
      <c r="P99" s="126">
        <f t="shared" ca="1" si="33"/>
        <v>45</v>
      </c>
      <c r="Q99" s="127">
        <f t="shared" si="34"/>
        <v>38</v>
      </c>
      <c r="R99" s="128">
        <f t="shared" ca="1" si="35"/>
        <v>456</v>
      </c>
      <c r="T99" s="25">
        <v>95</v>
      </c>
      <c r="U99" s="126">
        <f t="shared" ca="1" si="36"/>
        <v>45</v>
      </c>
      <c r="V99" s="127">
        <f t="shared" si="37"/>
        <v>45</v>
      </c>
      <c r="W99" s="128">
        <f t="shared" ca="1" si="38"/>
        <v>540</v>
      </c>
      <c r="Y99" s="25">
        <v>95</v>
      </c>
      <c r="Z99" s="126">
        <f t="shared" ca="1" si="39"/>
        <v>45</v>
      </c>
      <c r="AA99" s="127">
        <f t="shared" si="40"/>
        <v>52</v>
      </c>
      <c r="AB99" s="128">
        <f t="shared" ca="1" si="41"/>
        <v>484</v>
      </c>
      <c r="AD99" s="25">
        <v>95</v>
      </c>
      <c r="AE99" s="126">
        <f t="shared" ca="1" si="42"/>
        <v>45</v>
      </c>
      <c r="AF99" s="127">
        <f t="shared" si="43"/>
        <v>59</v>
      </c>
      <c r="AG99" s="128">
        <f t="shared" ca="1" si="44"/>
        <v>428</v>
      </c>
      <c r="AI99" s="25">
        <v>95</v>
      </c>
      <c r="AJ99" s="126">
        <f t="shared" ca="1" si="45"/>
        <v>45</v>
      </c>
      <c r="AK99" s="127">
        <f t="shared" si="46"/>
        <v>66</v>
      </c>
      <c r="AL99" s="128">
        <f t="shared" ca="1" si="47"/>
        <v>372</v>
      </c>
    </row>
    <row r="100" spans="12:38">
      <c r="L100" s="25">
        <v>96</v>
      </c>
      <c r="M100" s="125">
        <f t="shared" ca="1" si="32"/>
        <v>0.12403059474251488</v>
      </c>
      <c r="O100" s="25">
        <v>96</v>
      </c>
      <c r="P100" s="126">
        <f t="shared" ca="1" si="33"/>
        <v>45</v>
      </c>
      <c r="Q100" s="127">
        <f t="shared" si="34"/>
        <v>38</v>
      </c>
      <c r="R100" s="128">
        <f t="shared" ca="1" si="35"/>
        <v>456</v>
      </c>
      <c r="T100" s="25">
        <v>96</v>
      </c>
      <c r="U100" s="126">
        <f t="shared" ca="1" si="36"/>
        <v>45</v>
      </c>
      <c r="V100" s="127">
        <f t="shared" si="37"/>
        <v>45</v>
      </c>
      <c r="W100" s="128">
        <f t="shared" ca="1" si="38"/>
        <v>540</v>
      </c>
      <c r="Y100" s="25">
        <v>96</v>
      </c>
      <c r="Z100" s="126">
        <f t="shared" ca="1" si="39"/>
        <v>45</v>
      </c>
      <c r="AA100" s="127">
        <f t="shared" si="40"/>
        <v>52</v>
      </c>
      <c r="AB100" s="128">
        <f t="shared" ca="1" si="41"/>
        <v>484</v>
      </c>
      <c r="AD100" s="25">
        <v>96</v>
      </c>
      <c r="AE100" s="126">
        <f t="shared" ca="1" si="42"/>
        <v>45</v>
      </c>
      <c r="AF100" s="127">
        <f t="shared" si="43"/>
        <v>59</v>
      </c>
      <c r="AG100" s="128">
        <f t="shared" ca="1" si="44"/>
        <v>428</v>
      </c>
      <c r="AI100" s="25">
        <v>96</v>
      </c>
      <c r="AJ100" s="126">
        <f t="shared" ca="1" si="45"/>
        <v>45</v>
      </c>
      <c r="AK100" s="127">
        <f t="shared" si="46"/>
        <v>66</v>
      </c>
      <c r="AL100" s="128">
        <f t="shared" ca="1" si="47"/>
        <v>372</v>
      </c>
    </row>
    <row r="101" spans="12:38">
      <c r="L101" s="25">
        <v>97</v>
      </c>
      <c r="M101" s="125">
        <f t="shared" ca="1" si="32"/>
        <v>0.96561163499738345</v>
      </c>
      <c r="O101" s="25">
        <v>97</v>
      </c>
      <c r="P101" s="126">
        <f t="shared" ca="1" si="33"/>
        <v>66</v>
      </c>
      <c r="Q101" s="127">
        <f t="shared" si="34"/>
        <v>38</v>
      </c>
      <c r="R101" s="128">
        <f t="shared" ref="R101:R132" ca="1" si="48">MIN(P101:Q101)*$E$14-MAX(0,Q101-P101)*$E$15</f>
        <v>456</v>
      </c>
      <c r="T101" s="25">
        <v>97</v>
      </c>
      <c r="U101" s="126">
        <f t="shared" ca="1" si="36"/>
        <v>66</v>
      </c>
      <c r="V101" s="127">
        <f t="shared" si="37"/>
        <v>45</v>
      </c>
      <c r="W101" s="128">
        <f t="shared" ref="W101:W132" ca="1" si="49">MIN(U101:V101)*$E$14-MAX(0,V101-U101)*$E$15</f>
        <v>540</v>
      </c>
      <c r="Y101" s="25">
        <v>97</v>
      </c>
      <c r="Z101" s="126">
        <f t="shared" ca="1" si="39"/>
        <v>66</v>
      </c>
      <c r="AA101" s="127">
        <f t="shared" si="40"/>
        <v>52</v>
      </c>
      <c r="AB101" s="128">
        <f t="shared" ref="AB101:AB132" ca="1" si="50">MIN(Z101:AA101)*$E$14-MAX(0,AA101-Z101)*$E$15</f>
        <v>624</v>
      </c>
      <c r="AD101" s="25">
        <v>97</v>
      </c>
      <c r="AE101" s="126">
        <f t="shared" ca="1" si="42"/>
        <v>66</v>
      </c>
      <c r="AF101" s="127">
        <f t="shared" si="43"/>
        <v>59</v>
      </c>
      <c r="AG101" s="128">
        <f t="shared" ref="AG101:AG132" ca="1" si="51">MIN(AE101:AF101)*$E$14-MAX(0,AF101-AE101)*$E$15</f>
        <v>708</v>
      </c>
      <c r="AI101" s="25">
        <v>97</v>
      </c>
      <c r="AJ101" s="126">
        <f t="shared" ca="1" si="45"/>
        <v>66</v>
      </c>
      <c r="AK101" s="127">
        <f t="shared" si="46"/>
        <v>66</v>
      </c>
      <c r="AL101" s="128">
        <f t="shared" ref="AL101:AL132" ca="1" si="52">MIN(AJ101:AK101)*$E$14-MAX(0,AK101-AJ101)*$E$15</f>
        <v>792</v>
      </c>
    </row>
    <row r="102" spans="12:38">
      <c r="L102" s="25">
        <v>98</v>
      </c>
      <c r="M102" s="125">
        <f t="shared" ca="1" si="32"/>
        <v>0.82765501279286491</v>
      </c>
      <c r="O102" s="25">
        <v>98</v>
      </c>
      <c r="P102" s="126">
        <f t="shared" ca="1" si="33"/>
        <v>66</v>
      </c>
      <c r="Q102" s="127">
        <f t="shared" si="34"/>
        <v>38</v>
      </c>
      <c r="R102" s="128">
        <f t="shared" ca="1" si="48"/>
        <v>456</v>
      </c>
      <c r="T102" s="25">
        <v>98</v>
      </c>
      <c r="U102" s="126">
        <f t="shared" ca="1" si="36"/>
        <v>66</v>
      </c>
      <c r="V102" s="127">
        <f t="shared" si="37"/>
        <v>45</v>
      </c>
      <c r="W102" s="128">
        <f t="shared" ca="1" si="49"/>
        <v>540</v>
      </c>
      <c r="Y102" s="25">
        <v>98</v>
      </c>
      <c r="Z102" s="126">
        <f t="shared" ca="1" si="39"/>
        <v>66</v>
      </c>
      <c r="AA102" s="127">
        <f t="shared" si="40"/>
        <v>52</v>
      </c>
      <c r="AB102" s="128">
        <f t="shared" ca="1" si="50"/>
        <v>624</v>
      </c>
      <c r="AD102" s="25">
        <v>98</v>
      </c>
      <c r="AE102" s="126">
        <f t="shared" ca="1" si="42"/>
        <v>66</v>
      </c>
      <c r="AF102" s="127">
        <f t="shared" si="43"/>
        <v>59</v>
      </c>
      <c r="AG102" s="128">
        <f t="shared" ca="1" si="51"/>
        <v>708</v>
      </c>
      <c r="AI102" s="25">
        <v>98</v>
      </c>
      <c r="AJ102" s="126">
        <f t="shared" ca="1" si="45"/>
        <v>66</v>
      </c>
      <c r="AK102" s="127">
        <f t="shared" si="46"/>
        <v>66</v>
      </c>
      <c r="AL102" s="128">
        <f t="shared" ca="1" si="52"/>
        <v>792</v>
      </c>
    </row>
    <row r="103" spans="12:38">
      <c r="L103" s="25">
        <v>99</v>
      </c>
      <c r="M103" s="125">
        <f t="shared" ca="1" si="32"/>
        <v>9.6023666742100056E-2</v>
      </c>
      <c r="O103" s="25">
        <v>99</v>
      </c>
      <c r="P103" s="126">
        <f t="shared" ca="1" si="33"/>
        <v>38</v>
      </c>
      <c r="Q103" s="127">
        <f t="shared" si="34"/>
        <v>38</v>
      </c>
      <c r="R103" s="128">
        <f t="shared" ca="1" si="48"/>
        <v>456</v>
      </c>
      <c r="T103" s="25">
        <v>99</v>
      </c>
      <c r="U103" s="126">
        <f t="shared" ca="1" si="36"/>
        <v>38</v>
      </c>
      <c r="V103" s="127">
        <f t="shared" si="37"/>
        <v>45</v>
      </c>
      <c r="W103" s="128">
        <f t="shared" ca="1" si="49"/>
        <v>400</v>
      </c>
      <c r="Y103" s="25">
        <v>99</v>
      </c>
      <c r="Z103" s="126">
        <f t="shared" ca="1" si="39"/>
        <v>38</v>
      </c>
      <c r="AA103" s="127">
        <f t="shared" si="40"/>
        <v>52</v>
      </c>
      <c r="AB103" s="128">
        <f t="shared" ca="1" si="50"/>
        <v>344</v>
      </c>
      <c r="AD103" s="25">
        <v>99</v>
      </c>
      <c r="AE103" s="126">
        <f t="shared" ca="1" si="42"/>
        <v>38</v>
      </c>
      <c r="AF103" s="127">
        <f t="shared" si="43"/>
        <v>59</v>
      </c>
      <c r="AG103" s="128">
        <f t="shared" ca="1" si="51"/>
        <v>288</v>
      </c>
      <c r="AI103" s="25">
        <v>99</v>
      </c>
      <c r="AJ103" s="126">
        <f t="shared" ca="1" si="45"/>
        <v>38</v>
      </c>
      <c r="AK103" s="127">
        <f t="shared" si="46"/>
        <v>66</v>
      </c>
      <c r="AL103" s="128">
        <f t="shared" ca="1" si="52"/>
        <v>232</v>
      </c>
    </row>
    <row r="104" spans="12:38">
      <c r="L104" s="34">
        <v>100</v>
      </c>
      <c r="M104" s="149">
        <f t="shared" ca="1" si="32"/>
        <v>0.92820974811560608</v>
      </c>
      <c r="O104" s="34">
        <v>100</v>
      </c>
      <c r="P104" s="150">
        <f t="shared" ca="1" si="33"/>
        <v>66</v>
      </c>
      <c r="Q104" s="151">
        <f t="shared" si="34"/>
        <v>38</v>
      </c>
      <c r="R104" s="152">
        <f t="shared" ca="1" si="48"/>
        <v>456</v>
      </c>
      <c r="T104" s="34">
        <v>100</v>
      </c>
      <c r="U104" s="150">
        <f t="shared" ca="1" si="36"/>
        <v>66</v>
      </c>
      <c r="V104" s="151">
        <f t="shared" si="37"/>
        <v>45</v>
      </c>
      <c r="W104" s="152">
        <f t="shared" ca="1" si="49"/>
        <v>540</v>
      </c>
      <c r="Y104" s="34">
        <v>100</v>
      </c>
      <c r="Z104" s="150">
        <f t="shared" ca="1" si="39"/>
        <v>66</v>
      </c>
      <c r="AA104" s="151">
        <f t="shared" si="40"/>
        <v>52</v>
      </c>
      <c r="AB104" s="152">
        <f t="shared" ca="1" si="50"/>
        <v>624</v>
      </c>
      <c r="AD104" s="34">
        <v>100</v>
      </c>
      <c r="AE104" s="150">
        <f t="shared" ca="1" si="42"/>
        <v>66</v>
      </c>
      <c r="AF104" s="151">
        <f t="shared" si="43"/>
        <v>59</v>
      </c>
      <c r="AG104" s="152">
        <f t="shared" ca="1" si="51"/>
        <v>708</v>
      </c>
      <c r="AI104" s="34">
        <v>100</v>
      </c>
      <c r="AJ104" s="150">
        <f t="shared" ca="1" si="45"/>
        <v>66</v>
      </c>
      <c r="AK104" s="151">
        <f t="shared" si="46"/>
        <v>66</v>
      </c>
      <c r="AL104" s="152">
        <f t="shared" ca="1" si="52"/>
        <v>792</v>
      </c>
    </row>
    <row r="105" spans="12:38">
      <c r="R105" s="147">
        <f ca="1">AVERAGE(R5:R104)</f>
        <v>456</v>
      </c>
      <c r="W105" s="147">
        <f ca="1">AVERAGE(W5:W104)</f>
        <v>520.4</v>
      </c>
      <c r="AB105" s="147">
        <f ca="1">AVERAGE(AB5:AB104)</f>
        <v>534.4</v>
      </c>
      <c r="AG105" s="147">
        <f ca="1">AVERAGE(AG5:AG104)</f>
        <v>541.4</v>
      </c>
      <c r="AL105" s="147">
        <f ca="1">AVERAGE(AL5:AL104)</f>
        <v>523.20000000000005</v>
      </c>
    </row>
  </sheetData>
  <mergeCells count="38">
    <mergeCell ref="C14:D14"/>
    <mergeCell ref="C15:D15"/>
    <mergeCell ref="C25:D25"/>
    <mergeCell ref="C26:D26"/>
    <mergeCell ref="AJ3:AJ4"/>
    <mergeCell ref="AK3:AK4"/>
    <mergeCell ref="AL3:AL4"/>
    <mergeCell ref="C6:C7"/>
    <mergeCell ref="D6:D7"/>
    <mergeCell ref="E6:E7"/>
    <mergeCell ref="AD3:AD4"/>
    <mergeCell ref="AE3:AE4"/>
    <mergeCell ref="AF3:AF4"/>
    <mergeCell ref="AG3:AG4"/>
    <mergeCell ref="AI3:AI4"/>
    <mergeCell ref="AF2:AG2"/>
    <mergeCell ref="AK2:AL2"/>
    <mergeCell ref="I3:I4"/>
    <mergeCell ref="J3:J4"/>
    <mergeCell ref="L3:L4"/>
    <mergeCell ref="M3:M4"/>
    <mergeCell ref="O3:O4"/>
    <mergeCell ref="P3:P4"/>
    <mergeCell ref="Q3:Q4"/>
    <mergeCell ref="R3:R4"/>
    <mergeCell ref="T3:T4"/>
    <mergeCell ref="U3:U4"/>
    <mergeCell ref="V3:V4"/>
    <mergeCell ref="W3:W4"/>
    <mergeCell ref="Y3:Y4"/>
    <mergeCell ref="Z3:Z4"/>
    <mergeCell ref="B2:F4"/>
    <mergeCell ref="L2:M2"/>
    <mergeCell ref="Q2:R2"/>
    <mergeCell ref="V2:W2"/>
    <mergeCell ref="AA2:AB2"/>
    <mergeCell ref="AA3:AA4"/>
    <mergeCell ref="AB3:AB4"/>
  </mergeCells>
  <phoneticPr fontId="13" type="noConversion"/>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fded6205-6656-4f4d-b9c0-42e8e45d18d2}" enabled="1" method="Privileged" siteId="{a7687ede-7a6b-4ef6-bace-642f677fbe31}"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P system</vt:lpstr>
      <vt:lpstr>Q system</vt:lpstr>
      <vt:lpstr>Newsboy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Donna Chen (陳宛亭)</cp:lastModifiedBy>
  <cp:revision>1</cp:revision>
  <dcterms:created xsi:type="dcterms:W3CDTF">2015-06-05T18:19:34Z</dcterms:created>
  <dcterms:modified xsi:type="dcterms:W3CDTF">2026-09-30T04:59:20Z</dcterms:modified>
  <dc:language>en-US</dc:language>
</cp:coreProperties>
</file>