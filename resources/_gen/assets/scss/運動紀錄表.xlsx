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mediateko365-my.sharepoint.com/personal/donna_chen_mediatek_com/Documents/桌面/"/>
    </mc:Choice>
  </mc:AlternateContent>
  <xr:revisionPtr revIDLastSave="0" documentId="8_{EFA445E5-8D5E-4812-8E87-6FD6B8A87FC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每日訓練紀錄" sheetId="1" r:id="rId1"/>
    <sheet name="分析輔助" sheetId="2" r:id="rId2"/>
    <sheet name="使用說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B23" i="2"/>
  <c r="B22" i="2"/>
  <c r="B18" i="2"/>
  <c r="B17" i="2"/>
  <c r="B16" i="2"/>
  <c r="B15" i="2"/>
  <c r="B11" i="2"/>
  <c r="B10" i="2"/>
  <c r="B9" i="2"/>
  <c r="B8" i="2"/>
  <c r="B7" i="2"/>
  <c r="B6" i="2"/>
  <c r="B5" i="2"/>
  <c r="B4" i="2"/>
  <c r="B3" i="2"/>
  <c r="B2" i="2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<sst xmlns="http://schemas.openxmlformats.org/spreadsheetml/2006/main" count="192" uniqueCount="78">
  <si>
    <t>日期</t>
  </si>
  <si>
    <t>星期</t>
  </si>
  <si>
    <t>訓練類型</t>
  </si>
  <si>
    <t>訓練時長(分鐘)</t>
  </si>
  <si>
    <t>阻力/轉數設定</t>
  </si>
  <si>
    <t>重量設定</t>
  </si>
  <si>
    <t>消耗熱量(卡)</t>
  </si>
  <si>
    <t>RPE自覺費力程度(0-10)</t>
  </si>
  <si>
    <t>睡眠時數(前一晚)</t>
  </si>
  <si>
    <t>睡眠品質自評(1-5)</t>
  </si>
  <si>
    <t>壓力指數(1-5)</t>
  </si>
  <si>
    <t>疲勞感(1-5)</t>
  </si>
  <si>
    <t>自覺恢復程度(1-5)</t>
  </si>
  <si>
    <t>達成當日目標(Y/N)</t>
  </si>
  <si>
    <t>未達成原因</t>
  </si>
  <si>
    <t>心得備註</t>
  </si>
  <si>
    <t>飛輪</t>
  </si>
  <si>
    <t>Y</t>
  </si>
  <si>
    <t>不適用</t>
  </si>
  <si>
    <t>終於到貨，在家騎超方便，不用換衣服借鑰匙</t>
  </si>
  <si>
    <t>把握7天鑑賞期，沒想到有異音，聯繫客服希望能得到解決．</t>
  </si>
  <si>
    <t>休息日</t>
  </si>
  <si>
    <t>N</t>
  </si>
  <si>
    <t>工作忙</t>
  </si>
  <si>
    <t>上課回家很晚累了</t>
  </si>
  <si>
    <t>週末比較有時間，騎久一點</t>
  </si>
  <si>
    <t>沒動力</t>
  </si>
  <si>
    <t>週日賴床，一直拖到後來懶得騎了</t>
  </si>
  <si>
    <t>有點累但還是騎完了</t>
  </si>
  <si>
    <t>太累</t>
  </si>
  <si>
    <t>上課到很晚，回家只想洗洗睡</t>
  </si>
  <si>
    <t>週末狀態不錯</t>
  </si>
  <si>
    <t>邊上課　邊運動</t>
  </si>
  <si>
    <t>沒有特別原因，就是不想騎</t>
  </si>
  <si>
    <t>今天狀態普通，照常騎完30分鐘</t>
  </si>
  <si>
    <t>↑ 黃底(第2列)=範例列；綠底(第2-17列的RPE~恢復程度欄)=AI依你給的騎乘天數草擬的示範數值，睡眠/壓力/疲勞感/恢復程度這幾欄請對照自己實際情況修正；日期/訓練類型/時長/阻力/重量/熱量/達成狀態/原因(第2-17列)已依你提供的真實資訊填入。灰底(第18-85列，9/24-11/30)=已依你的課表(一、三、四不排運動，其他天排飛輪)預先排定的日期與運動/休息類型、以及固定不變的時長/阻力/重量/熱量預設值，如當天實際不同可自行覆蓋修改。藍底=請每天實際完成後再填寫的欄位(睡眠/壓力/疲勞感/恢復程度/RPE/是否達成/原因/心得等)，未發生的未來日期請勿提前填寫，以符合「資料自己量」的要求。第86列以後為完全空白列，若12月要繼續使用可自行往下延伸複製格式。</t>
  </si>
  <si>
    <t>整體總覽</t>
  </si>
  <si>
    <t>已記錄天數</t>
  </si>
  <si>
    <t>實際騎乘天數</t>
  </si>
  <si>
    <t>目標達成率</t>
  </si>
  <si>
    <t>平均RPE(騎乘日)</t>
  </si>
  <si>
    <t>平均睡眠時數</t>
  </si>
  <si>
    <t>平均壓力指數</t>
  </si>
  <si>
    <t>平均疲勞感</t>
  </si>
  <si>
    <t>平均自覺恢復程度</t>
  </si>
  <si>
    <t>累積消耗熱量(卡)</t>
  </si>
  <si>
    <t>平均每次消耗熱量(騎乘日)</t>
  </si>
  <si>
    <t>交互影響：相關係數 (CORREL，介於 -1 ~ 1)</t>
  </si>
  <si>
    <t>比較項目</t>
  </si>
  <si>
    <t>相關係數</t>
  </si>
  <si>
    <t>怎麼看</t>
  </si>
  <si>
    <t>RPE vs 睡眠時數</t>
  </si>
  <si>
    <t>|係數|&gt;0.5 通常算有明顯關聯，可作為魚骨圖／5Why的線索</t>
  </si>
  <si>
    <t>RPE vs 壓力指數</t>
  </si>
  <si>
    <t>自覺恢復程度 vs 睡眠時數</t>
  </si>
  <si>
    <t>自覺恢復程度 vs 壓力指數</t>
  </si>
  <si>
    <t>未達成原因統計 (柏拉圖用)</t>
  </si>
  <si>
    <t>原因</t>
  </si>
  <si>
    <t>次數</t>
  </si>
  <si>
    <t>時間不夠</t>
  </si>
  <si>
    <t>身體不適</t>
  </si>
  <si>
    <t>其他</t>
  </si>
  <si>
    <t>註：目標達成率＝到今天為止「已騎飛輪(Y)」天數 ÷ 到今天為止「已記錄」天數(含休息日)，未來日期不會被算入分母，會隨日期自動往後展開。</t>
  </si>
  <si>
    <t>居家飛輪運動改善主題 —— 追蹤表使用說明</t>
  </si>
  <si>
    <t>這份表格對應 TQM 課程「個人改善主題 H1–H4」作業，記錄你在家騎飛輪的狀況。</t>
  </si>
  <si>
    <t>【重要提醒：哪些數據是真的，哪些是示範】</t>
  </si>
  <si>
    <t>日期、訓練類型(飛輪)、時長(30分鐘)、阻力設定(3-4)、重量設定(3)、消耗熱量(47卡)、是否達成(Y/N)、未達成原因、心得——這些是依照你給的真實資訊填入的。</t>
  </si>
  <si>
    <t>但 RPE、睡眠時數、睡眠品質、壓力指數、疲勞感、自覺恢復程度 這幾欄（綠色底），是 AI 依你的騎乘天數草擬的示範數值，不是你真正量測的結果。請在提交作業前，對照自己實際的睡眠/壓力/體感狀況逐格修正——課程要求「資料自己量、分析自己做」，也需要在AI使用聲明中誠實說明這一點。</t>
  </si>
  <si>
    <t>【使用方式】</t>
  </si>
  <si>
    <t>1. 已經幫你填了9/8-9/23共16天的實際資料。第18-85列(9/24-11/30)已依你的課表(星期一、三、四上課不排運動，其他天排飛輪)預先排好日期與運動/休息類型，灰底=預排值(可覆蓋)，藍底=請當天實際發生後再填寫(睡眠/壓力/疲勞感/恢復程度/RPE/是否達成/原因/心得)，未發生的日期請不要提前填。第86列以後是完全空白列，12月以後要繼續用可自行往下複製格式延伸。</t>
  </si>
  <si>
    <t>2. 「分析輔助」會自動算達成率、平均RPE、相關係數、未達成原因統計，還有兩張圖（熱量趨勢、原因次數）。</t>
  </si>
  <si>
    <t>【欄位對照 H1–H4】</t>
  </si>
  <si>
    <t>H1：顧客可以是「未來的自己」或「希望你多運動的家人」；品質成本——預防（買飛輪車、設置空間，這筆錢本身就是預防投資）、鑑定（每天檢查有沒有騎）、內部失敗（因為太累臨時縮短時間）、外部失敗（沒達成運動目標、健康/心情沒改善）。</t>
  </si>
  <si>
    <t>H2：Run Chart 用「消耗熱量」或「是否達成(Y/N)」都可以，畫15-25天的趨勢，觀察是否越來越規律。</t>
  </si>
  <si>
    <t>H3：「未達成原因」欄位直接變成柏拉圖分類；魚骨圖可以拆「時間管理」「動力/心理」「環境/習慣」「身體狀況」幾個分支；5Why可以追問「為什麼今天沒騎」一路問到根本原因。</t>
  </si>
  <si>
    <t>H4：A3報告整合背景/現況/目標/分析/對策/計畫/追蹤，並說明DMAIC的Measure（這張表）與Control（例如連續2天沒騎就設定提醒或降低門檻）怎麼設計。</t>
  </si>
  <si>
    <t>提醒：依課程 AI 使用規範，作業末尾記得附上「AI 使用聲明與查證紀錄」，誠實說明表格中哪些數據是AI草擬示範、你實際查證修正了哪些地方。</t>
  </si>
  <si>
    <r>
      <rPr>
        <sz val="11"/>
        <color theme="1"/>
        <rFont val="微軟正黑體"/>
        <family val="2"/>
        <charset val="136"/>
      </rPr>
      <t>這份表格自己的「使用說明」裡已經寫得很清楚：這幾欄要等「當天實際發生後」才能填，而且明確提醒「未發生的日期請不要提前填」。
現在是</t>
    </r>
    <r>
      <rPr>
        <sz val="11"/>
        <color theme="1"/>
        <rFont val="Calibri"/>
        <family val="2"/>
        <charset val="1"/>
      </rPr>
      <t>9/30</t>
    </r>
    <r>
      <rPr>
        <sz val="11"/>
        <color theme="1"/>
        <rFont val="微軟正黑體"/>
        <family val="2"/>
        <charset val="136"/>
      </rPr>
      <t>，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微軟正黑體"/>
        <family val="2"/>
        <charset val="136"/>
      </rPr>
      <t>月和</t>
    </r>
    <r>
      <rPr>
        <sz val="11"/>
        <color theme="1"/>
        <rFont val="Calibri"/>
        <family val="2"/>
        <charset val="1"/>
      </rPr>
      <t>11</t>
    </r>
    <r>
      <rPr>
        <sz val="11"/>
        <color theme="1"/>
        <rFont val="微軟正黑體"/>
        <family val="2"/>
        <charset val="136"/>
      </rPr>
      <t>月幾乎都還沒發生，如果我幫你把整個</t>
    </r>
    <r>
      <rPr>
        <sz val="11"/>
        <color theme="1"/>
        <rFont val="Calibri"/>
        <family val="2"/>
        <charset val="1"/>
      </rPr>
      <t>11</t>
    </r>
    <r>
      <rPr>
        <sz val="11"/>
        <color theme="1"/>
        <rFont val="微軟正黑體"/>
        <family val="2"/>
        <charset val="136"/>
      </rPr>
      <t>月的睡眠、壓力、疲勞感都編出來，那就是在編造還沒發生的個人生理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微軟正黑體"/>
        <family val="2"/>
        <charset val="136"/>
      </rPr>
      <t>心理紀錄，
不是示範用的假設值，而是會被當成你自己實際量測結果交出去的東西。你也特別說「不要很像</t>
    </r>
    <r>
      <rPr>
        <sz val="11"/>
        <color theme="1"/>
        <rFont val="Calibri"/>
        <family val="2"/>
        <charset val="1"/>
      </rPr>
      <t>AI</t>
    </r>
    <r>
      <rPr>
        <sz val="11"/>
        <color theme="1"/>
        <rFont val="微軟正黑體"/>
        <family val="2"/>
        <charset val="136"/>
      </rPr>
      <t>」
——這等於是要我把編出來的數據刻意做得像真的，這點我沒辦法配合，這剛好牴觸課程要求的「資料自己量、分析自己做」和</t>
    </r>
    <r>
      <rPr>
        <sz val="11"/>
        <color theme="1"/>
        <rFont val="Calibri"/>
        <family val="2"/>
        <charset val="1"/>
      </rPr>
      <t>AI</t>
    </r>
    <r>
      <rPr>
        <sz val="11"/>
        <color theme="1"/>
        <rFont val="微軟正黑體"/>
        <family val="2"/>
        <charset val="136"/>
      </rPr>
      <t>使用誠實揭露的精神。</t>
    </r>
    <r>
      <rPr>
        <sz val="11"/>
        <color theme="1"/>
        <rFont val="Calibri"/>
        <family val="2"/>
        <charset val="1"/>
      </rPr>
      <t xml:space="preserve">
</t>
    </r>
    <r>
      <rPr>
        <sz val="11"/>
        <color theme="1"/>
        <rFont val="微軟正黑體"/>
        <family val="2"/>
        <charset val="136"/>
      </rPr>
      <t>比較好的做法：這幾欄留白，之後每天騎完（或沒騎）就照實填，等真的到</t>
    </r>
    <r>
      <rPr>
        <sz val="11"/>
        <color theme="1"/>
        <rFont val="Calibri"/>
        <family val="2"/>
        <charset val="1"/>
      </rPr>
      <t>11</t>
    </r>
    <r>
      <rPr>
        <sz val="11"/>
        <color theme="1"/>
        <rFont val="微軟正黑體"/>
        <family val="2"/>
        <charset val="136"/>
      </rPr>
      <t>月底交作業前，數據都是你自己記錄的，分析出來的圖表跟相關係數才有意義。如果你想要的是「先看看</t>
    </r>
    <r>
      <rPr>
        <sz val="11"/>
        <color theme="1"/>
        <rFont val="Calibri"/>
        <family val="2"/>
        <charset val="1"/>
      </rPr>
      <t>Run Chart</t>
    </r>
    <r>
      <rPr>
        <sz val="11"/>
        <color theme="1"/>
        <rFont val="微軟正黑體"/>
        <family val="2"/>
        <charset val="136"/>
      </rPr>
      <t>、柏拉圖、相關係數長什麼樣子」來練習分析工具，我可以用清楚標示「僅供示範、非真實數據」的方式，另外做一份範例表給你參考操作，跟你正式要交的這份分開。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</si>
</sst>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0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name val="Noto Sans CJK SC"/>
      <family val="2"/>
      <charset val="1"/>
    </font>
    <font>
      <sz val="11"/>
      <name val="Noto Sans CJK SC"/>
      <charset val="1"/>
    </font>
    <font>
      <sz val="9.5"/>
      <color rgb="FF808080"/>
      <name val="Noto Sans CJK SC"/>
      <charset val="1"/>
    </font>
    <font>
      <b/>
      <sz val="13"/>
      <color rgb="FF1F4E5C"/>
      <name val="Noto Sans CJK SC"/>
      <family val="2"/>
      <charset val="1"/>
    </font>
    <font>
      <b/>
      <sz val="11"/>
      <name val="Noto Sans CJK SC"/>
      <family val="2"/>
      <charset val="1"/>
    </font>
    <font>
      <sz val="11"/>
      <name val="Noto Sans CJK SC"/>
      <family val="2"/>
    </font>
    <font>
      <sz val="9"/>
      <color rgb="FF808080"/>
      <name val="Noto Sans CJK SC"/>
      <charset val="1"/>
    </font>
    <font>
      <b/>
      <sz val="15"/>
      <color rgb="FF1F4E5C"/>
      <name val="Noto Sans CJK SC"/>
      <family val="2"/>
      <charset val="1"/>
    </font>
    <font>
      <sz val="11"/>
      <color rgb="FF404040"/>
      <name val="Arial"/>
      <family val="2"/>
    </font>
    <font>
      <sz val="11"/>
      <color rgb="FF404040"/>
      <name val="Noto Sans CJK SC"/>
      <family val="2"/>
      <charset val="1"/>
    </font>
    <font>
      <b/>
      <sz val="12"/>
      <color rgb="FF000000"/>
      <name val="Noto Sans CJK SC"/>
      <family val="2"/>
      <charset val="1"/>
    </font>
    <font>
      <sz val="10"/>
      <color rgb="FF404040"/>
      <name val="Noto Sans CJK SC"/>
      <family val="2"/>
      <charset val="1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color theme="1"/>
      <name val="Calibri"/>
      <family val="2"/>
      <charset val="136"/>
    </font>
    <font>
      <sz val="11"/>
      <color theme="1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1F4E5C"/>
        <bgColor rgb="FF404040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CE6F1"/>
      </patternFill>
    </fill>
    <fill>
      <patternFill patternType="solid">
        <fgColor rgb="FFD9D9D9"/>
        <bgColor rgb="FFDCE6F1"/>
      </patternFill>
    </fill>
    <fill>
      <patternFill patternType="solid">
        <fgColor rgb="FFDCE6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6" borderId="0" xfId="0" applyFont="1" applyFill="1"/>
    <xf numFmtId="0" fontId="3" fillId="6" borderId="0" xfId="0" applyFont="1" applyFill="1"/>
    <xf numFmtId="0" fontId="3" fillId="7" borderId="0" xfId="0" applyFont="1" applyFill="1"/>
    <xf numFmtId="0" fontId="5" fillId="7" borderId="0" xfId="0" applyFont="1" applyFill="1"/>
    <xf numFmtId="0" fontId="8" fillId="0" borderId="1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9" fontId="3" fillId="8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9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6" fontId="3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176" fontId="3" fillId="6" borderId="1" xfId="0" applyNumberFormat="1" applyFont="1" applyFill="1" applyBorder="1" applyAlignment="1">
      <alignment horizontal="center" vertical="center" wrapText="1"/>
    </xf>
    <xf numFmtId="176" fontId="3" fillId="6" borderId="0" xfId="0" applyNumberFormat="1" applyFont="1" applyFill="1"/>
    <xf numFmtId="176" fontId="3" fillId="9" borderId="0" xfId="0" applyNumberFormat="1" applyFont="1" applyFill="1"/>
    <xf numFmtId="0" fontId="3" fillId="9" borderId="0" xfId="0" applyFont="1" applyFill="1"/>
    <xf numFmtId="0" fontId="5" fillId="9" borderId="0" xfId="0" applyFont="1" applyFill="1"/>
    <xf numFmtId="0" fontId="6" fillId="0" borderId="0" xfId="0" applyFont="1" applyAlignment="1">
      <alignment vertical="top" wrapText="1"/>
    </xf>
    <xf numFmtId="0" fontId="0" fillId="0" borderId="0" xfId="0"/>
    <xf numFmtId="0" fontId="7" fillId="0" borderId="0" xfId="0" applyFont="1"/>
    <xf numFmtId="0" fontId="18" fillId="0" borderId="0" xfId="0" applyFont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F4E5C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zh-TW" altLang="en-US" sz="1800" b="1" strike="noStrike">
                <a:solidFill>
                  <a:srgbClr val="000000"/>
                </a:solidFill>
                <a:uFillTx/>
                <a:latin typeface="Calibri"/>
              </a:rPr>
              <a:t>每日消耗熱量趨勢 </a:t>
            </a:r>
            <a:r>
              <a:rPr lang="en-US" altLang="zh-TW" sz="1800" b="1" strike="noStrike">
                <a:solidFill>
                  <a:srgbClr val="000000"/>
                </a:solidFill>
                <a:uFillTx/>
                <a:latin typeface="Calibri"/>
              </a:rPr>
              <a:t>(0=</a:t>
            </a:r>
            <a:r>
              <a:rPr lang="zh-TW" altLang="en-US" sz="1800" b="1" strike="noStrike">
                <a:solidFill>
                  <a:srgbClr val="000000"/>
                </a:solidFill>
                <a:uFillTx/>
                <a:latin typeface="Calibri"/>
              </a:rPr>
              <a:t>當天沒騎，填寫後自動更新</a:t>
            </a:r>
            <a:r>
              <a:rPr lang="en-US" altLang="zh-TW" sz="1800" b="1" strike="noStrike">
                <a:solidFill>
                  <a:srgbClr val="000000"/>
                </a:solidFill>
                <a:uFillTx/>
                <a:latin typeface="Calibri"/>
              </a:rPr>
              <a:t>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每日訓練紀錄!$G$1</c:f>
              <c:strCache>
                <c:ptCount val="1"/>
                <c:pt idx="0">
                  <c:v>消耗熱量(卡)</c:v>
                </c:pt>
              </c:strCache>
            </c:strRef>
          </c:tx>
          <c:spPr>
            <a:ln w="1260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每日訓練紀錄!$G$2:$G$95</c:f>
              <c:numCache>
                <c:formatCode>General</c:formatCode>
                <c:ptCount val="94"/>
                <c:pt idx="0">
                  <c:v>47</c:v>
                </c:pt>
                <c:pt idx="1">
                  <c:v>47</c:v>
                </c:pt>
                <c:pt idx="2">
                  <c:v>0</c:v>
                </c:pt>
                <c:pt idx="3">
                  <c:v>47</c:v>
                </c:pt>
                <c:pt idx="4">
                  <c:v>47</c:v>
                </c:pt>
                <c:pt idx="5">
                  <c:v>0</c:v>
                </c:pt>
                <c:pt idx="6">
                  <c:v>47</c:v>
                </c:pt>
                <c:pt idx="7">
                  <c:v>47</c:v>
                </c:pt>
                <c:pt idx="8">
                  <c:v>0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0</c:v>
                </c:pt>
                <c:pt idx="14">
                  <c:v>47</c:v>
                </c:pt>
                <c:pt idx="15">
                  <c:v>47</c:v>
                </c:pt>
                <c:pt idx="16">
                  <c:v>0</c:v>
                </c:pt>
                <c:pt idx="17">
                  <c:v>47</c:v>
                </c:pt>
                <c:pt idx="18">
                  <c:v>47</c:v>
                </c:pt>
                <c:pt idx="19">
                  <c:v>47</c:v>
                </c:pt>
                <c:pt idx="20">
                  <c:v>0</c:v>
                </c:pt>
                <c:pt idx="21">
                  <c:v>47</c:v>
                </c:pt>
                <c:pt idx="22">
                  <c:v>0</c:v>
                </c:pt>
                <c:pt idx="23">
                  <c:v>0</c:v>
                </c:pt>
                <c:pt idx="24">
                  <c:v>47</c:v>
                </c:pt>
                <c:pt idx="25">
                  <c:v>47</c:v>
                </c:pt>
                <c:pt idx="26">
                  <c:v>47</c:v>
                </c:pt>
                <c:pt idx="27">
                  <c:v>0</c:v>
                </c:pt>
                <c:pt idx="28">
                  <c:v>47</c:v>
                </c:pt>
                <c:pt idx="29">
                  <c:v>0</c:v>
                </c:pt>
                <c:pt idx="30">
                  <c:v>0</c:v>
                </c:pt>
                <c:pt idx="31">
                  <c:v>47</c:v>
                </c:pt>
                <c:pt idx="32">
                  <c:v>47</c:v>
                </c:pt>
                <c:pt idx="33">
                  <c:v>47</c:v>
                </c:pt>
                <c:pt idx="34">
                  <c:v>0</c:v>
                </c:pt>
                <c:pt idx="35">
                  <c:v>47</c:v>
                </c:pt>
                <c:pt idx="36">
                  <c:v>0</c:v>
                </c:pt>
                <c:pt idx="37">
                  <c:v>0</c:v>
                </c:pt>
                <c:pt idx="38">
                  <c:v>47</c:v>
                </c:pt>
                <c:pt idx="39">
                  <c:v>47</c:v>
                </c:pt>
                <c:pt idx="40">
                  <c:v>47</c:v>
                </c:pt>
                <c:pt idx="41">
                  <c:v>0</c:v>
                </c:pt>
                <c:pt idx="42">
                  <c:v>47</c:v>
                </c:pt>
                <c:pt idx="43">
                  <c:v>0</c:v>
                </c:pt>
                <c:pt idx="44">
                  <c:v>0</c:v>
                </c:pt>
                <c:pt idx="45">
                  <c:v>47</c:v>
                </c:pt>
                <c:pt idx="46">
                  <c:v>47</c:v>
                </c:pt>
                <c:pt idx="47">
                  <c:v>47</c:v>
                </c:pt>
                <c:pt idx="48">
                  <c:v>0</c:v>
                </c:pt>
                <c:pt idx="49">
                  <c:v>47</c:v>
                </c:pt>
                <c:pt idx="50">
                  <c:v>0</c:v>
                </c:pt>
                <c:pt idx="51">
                  <c:v>0</c:v>
                </c:pt>
                <c:pt idx="52">
                  <c:v>47</c:v>
                </c:pt>
                <c:pt idx="53">
                  <c:v>47</c:v>
                </c:pt>
                <c:pt idx="54">
                  <c:v>47</c:v>
                </c:pt>
                <c:pt idx="55">
                  <c:v>0</c:v>
                </c:pt>
                <c:pt idx="56">
                  <c:v>47</c:v>
                </c:pt>
                <c:pt idx="57">
                  <c:v>0</c:v>
                </c:pt>
                <c:pt idx="58">
                  <c:v>0</c:v>
                </c:pt>
                <c:pt idx="59">
                  <c:v>47</c:v>
                </c:pt>
                <c:pt idx="60">
                  <c:v>47</c:v>
                </c:pt>
                <c:pt idx="61">
                  <c:v>47</c:v>
                </c:pt>
                <c:pt idx="62">
                  <c:v>0</c:v>
                </c:pt>
                <c:pt idx="63">
                  <c:v>47</c:v>
                </c:pt>
                <c:pt idx="64">
                  <c:v>0</c:v>
                </c:pt>
                <c:pt idx="65">
                  <c:v>0</c:v>
                </c:pt>
                <c:pt idx="66">
                  <c:v>47</c:v>
                </c:pt>
                <c:pt idx="67">
                  <c:v>47</c:v>
                </c:pt>
                <c:pt idx="68">
                  <c:v>47</c:v>
                </c:pt>
                <c:pt idx="69">
                  <c:v>0</c:v>
                </c:pt>
                <c:pt idx="70">
                  <c:v>47</c:v>
                </c:pt>
                <c:pt idx="71">
                  <c:v>0</c:v>
                </c:pt>
                <c:pt idx="72">
                  <c:v>0</c:v>
                </c:pt>
                <c:pt idx="73">
                  <c:v>47</c:v>
                </c:pt>
                <c:pt idx="74">
                  <c:v>47</c:v>
                </c:pt>
                <c:pt idx="75">
                  <c:v>47</c:v>
                </c:pt>
                <c:pt idx="76">
                  <c:v>0</c:v>
                </c:pt>
                <c:pt idx="77">
                  <c:v>47</c:v>
                </c:pt>
                <c:pt idx="78">
                  <c:v>0</c:v>
                </c:pt>
                <c:pt idx="79">
                  <c:v>0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2C-4A34-A8FF-B3E5E57D7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4909257"/>
        <c:axId val="27246468"/>
      </c:lineChart>
      <c:catAx>
        <c:axId val="649092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zh-TW" alt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日期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27246468"/>
        <c:crosses val="autoZero"/>
        <c:auto val="1"/>
        <c:lblAlgn val="ctr"/>
        <c:lblOffset val="100"/>
        <c:noMultiLvlLbl val="0"/>
      </c:catAx>
      <c:valAx>
        <c:axId val="27246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zh-TW" alt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熱量</a:t>
                </a:r>
                <a:r>
                  <a:rPr lang="en-US" altLang="zh-TW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zh-TW" alt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卡</a:t>
                </a:r>
                <a:r>
                  <a:rPr lang="en-US" altLang="zh-TW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6490925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未達成原因次數 (柏拉圖前置)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分析輔助!$B$21</c:f>
              <c:strCache>
                <c:ptCount val="1"/>
                <c:pt idx="0">
                  <c:v>次數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分析輔助!$A$22:$A$27</c:f>
              <c:strCache>
                <c:ptCount val="6"/>
                <c:pt idx="0">
                  <c:v>時間不夠</c:v>
                </c:pt>
                <c:pt idx="1">
                  <c:v>太累</c:v>
                </c:pt>
                <c:pt idx="2">
                  <c:v>工作忙</c:v>
                </c:pt>
                <c:pt idx="3">
                  <c:v>沒動力</c:v>
                </c:pt>
                <c:pt idx="4">
                  <c:v>身體不適</c:v>
                </c:pt>
                <c:pt idx="5">
                  <c:v>其他</c:v>
                </c:pt>
              </c:strCache>
            </c:strRef>
          </c:cat>
          <c:val>
            <c:numRef>
              <c:f>分析輔助!$B$22:$B$27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6-4624-8094-9B9C9759E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83809"/>
        <c:axId val="69295693"/>
      </c:barChart>
      <c:catAx>
        <c:axId val="244838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原因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69295693"/>
        <c:crosses val="autoZero"/>
        <c:auto val="1"/>
        <c:lblAlgn val="ctr"/>
        <c:lblOffset val="100"/>
        <c:noMultiLvlLbl val="0"/>
      </c:catAx>
      <c:valAx>
        <c:axId val="69295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次數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2448380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5</xdr:col>
      <xdr:colOff>211680</xdr:colOff>
      <xdr:row>47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51</xdr:row>
      <xdr:rowOff>0</xdr:rowOff>
    </xdr:from>
    <xdr:to>
      <xdr:col>2</xdr:col>
      <xdr:colOff>2517120</xdr:colOff>
      <xdr:row>68</xdr:row>
      <xdr:rowOff>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zoomScaleNormal="100" workbookViewId="0">
      <pane ySplit="1" topLeftCell="A2" activePane="bottomLeft" state="frozen"/>
      <selection pane="bottomLeft" activeCell="A101" sqref="A101:O101"/>
    </sheetView>
  </sheetViews>
  <sheetFormatPr defaultColWidth="8.7109375" defaultRowHeight="15"/>
  <cols>
    <col min="1" max="1" width="11" style="1" customWidth="1"/>
    <col min="2" max="2" width="7" style="1" customWidth="1"/>
    <col min="3" max="3" width="9" style="1" customWidth="1"/>
    <col min="4" max="5" width="12" style="1" customWidth="1"/>
    <col min="6" max="6" width="10" style="1" customWidth="1"/>
    <col min="7" max="7" width="12" style="1" customWidth="1"/>
    <col min="8" max="8" width="15" style="1" customWidth="1"/>
    <col min="9" max="10" width="13" style="1" customWidth="1"/>
    <col min="11" max="11" width="11" style="1" customWidth="1"/>
    <col min="12" max="12" width="10" style="1" customWidth="1"/>
    <col min="13" max="15" width="13" style="1" customWidth="1"/>
    <col min="16" max="16" width="30" style="1" customWidth="1"/>
  </cols>
  <sheetData>
    <row r="1" spans="1:16" ht="33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2.25" customHeight="1">
      <c r="A2" s="35">
        <v>46273</v>
      </c>
      <c r="B2" s="4" t="str">
        <f t="shared" ref="B2:B33" si="0">IF(A2="","",TEXT(A2,"aaa"))</f>
        <v>週二</v>
      </c>
      <c r="C2" s="5" t="s">
        <v>16</v>
      </c>
      <c r="D2" s="4">
        <v>30</v>
      </c>
      <c r="E2" s="4">
        <v>4</v>
      </c>
      <c r="F2" s="4">
        <v>3</v>
      </c>
      <c r="G2" s="4">
        <v>47</v>
      </c>
      <c r="H2" s="4">
        <v>6</v>
      </c>
      <c r="I2" s="4">
        <v>6.5</v>
      </c>
      <c r="J2" s="4">
        <v>3</v>
      </c>
      <c r="K2" s="4">
        <v>3</v>
      </c>
      <c r="L2" s="4">
        <v>3</v>
      </c>
      <c r="M2" s="4">
        <v>3</v>
      </c>
      <c r="N2" s="4" t="s">
        <v>17</v>
      </c>
      <c r="O2" s="5" t="s">
        <v>18</v>
      </c>
      <c r="P2" s="6" t="s">
        <v>19</v>
      </c>
    </row>
    <row r="3" spans="1:16" ht="35.25" customHeight="1">
      <c r="A3" s="36">
        <v>46274</v>
      </c>
      <c r="B3" s="7" t="str">
        <f t="shared" si="0"/>
        <v>週三</v>
      </c>
      <c r="C3" s="8" t="s">
        <v>16</v>
      </c>
      <c r="D3" s="7">
        <v>30</v>
      </c>
      <c r="E3" s="7">
        <v>3</v>
      </c>
      <c r="F3" s="7">
        <v>3</v>
      </c>
      <c r="G3" s="7">
        <v>47</v>
      </c>
      <c r="H3" s="9">
        <v>5</v>
      </c>
      <c r="I3" s="9">
        <v>7</v>
      </c>
      <c r="J3" s="9">
        <v>4</v>
      </c>
      <c r="K3" s="9">
        <v>2</v>
      </c>
      <c r="L3" s="9">
        <v>2</v>
      </c>
      <c r="M3" s="9">
        <v>4</v>
      </c>
      <c r="N3" s="7" t="s">
        <v>17</v>
      </c>
      <c r="O3" s="8" t="s">
        <v>18</v>
      </c>
      <c r="P3" s="33" t="s">
        <v>20</v>
      </c>
    </row>
    <row r="4" spans="1:16" ht="16.5" customHeight="1">
      <c r="A4" s="37">
        <v>46275</v>
      </c>
      <c r="B4" s="38" t="str">
        <f t="shared" si="0"/>
        <v>週四</v>
      </c>
      <c r="C4" s="39" t="s">
        <v>21</v>
      </c>
      <c r="D4" s="38">
        <v>0</v>
      </c>
      <c r="E4" s="38"/>
      <c r="F4" s="38"/>
      <c r="G4" s="38">
        <v>0</v>
      </c>
      <c r="H4" s="38"/>
      <c r="I4" s="38">
        <v>6</v>
      </c>
      <c r="J4" s="38">
        <v>3</v>
      </c>
      <c r="K4" s="38">
        <v>4</v>
      </c>
      <c r="L4" s="38">
        <v>4</v>
      </c>
      <c r="M4" s="38">
        <v>3</v>
      </c>
      <c r="N4" s="38" t="s">
        <v>22</v>
      </c>
      <c r="O4" s="39" t="s">
        <v>23</v>
      </c>
      <c r="P4" s="40" t="s">
        <v>24</v>
      </c>
    </row>
    <row r="5" spans="1:16" ht="16.5" customHeight="1">
      <c r="A5" s="36">
        <v>46276</v>
      </c>
      <c r="B5" s="7" t="str">
        <f t="shared" si="0"/>
        <v>週五</v>
      </c>
      <c r="C5" s="8" t="s">
        <v>16</v>
      </c>
      <c r="D5" s="7">
        <v>30</v>
      </c>
      <c r="E5" s="7">
        <v>3</v>
      </c>
      <c r="F5" s="7">
        <v>3</v>
      </c>
      <c r="G5" s="7">
        <v>47</v>
      </c>
      <c r="H5" s="9">
        <v>5</v>
      </c>
      <c r="I5" s="9">
        <v>6.5</v>
      </c>
      <c r="J5" s="9">
        <v>3</v>
      </c>
      <c r="K5" s="9">
        <v>3</v>
      </c>
      <c r="L5" s="9">
        <v>3</v>
      </c>
      <c r="M5" s="9">
        <v>3</v>
      </c>
      <c r="N5" s="7" t="s">
        <v>17</v>
      </c>
      <c r="O5" s="8" t="s">
        <v>18</v>
      </c>
      <c r="P5" s="10"/>
    </row>
    <row r="6" spans="1:16" ht="32.25" customHeight="1">
      <c r="A6" s="36">
        <v>46277</v>
      </c>
      <c r="B6" s="7" t="str">
        <f t="shared" si="0"/>
        <v>週六</v>
      </c>
      <c r="C6" s="8" t="s">
        <v>16</v>
      </c>
      <c r="D6" s="7">
        <v>30</v>
      </c>
      <c r="E6" s="7">
        <v>4</v>
      </c>
      <c r="F6" s="7">
        <v>3</v>
      </c>
      <c r="G6" s="7">
        <v>47</v>
      </c>
      <c r="H6" s="9">
        <v>7</v>
      </c>
      <c r="I6" s="9">
        <v>7.5</v>
      </c>
      <c r="J6" s="9">
        <v>4</v>
      </c>
      <c r="K6" s="9">
        <v>2</v>
      </c>
      <c r="L6" s="9">
        <v>3</v>
      </c>
      <c r="M6" s="9">
        <v>4</v>
      </c>
      <c r="N6" s="7" t="s">
        <v>17</v>
      </c>
      <c r="O6" s="8" t="s">
        <v>18</v>
      </c>
      <c r="P6" s="34" t="s">
        <v>25</v>
      </c>
    </row>
    <row r="7" spans="1:16" ht="32.25" customHeight="1">
      <c r="A7" s="37">
        <v>46278</v>
      </c>
      <c r="B7" s="38" t="str">
        <f t="shared" si="0"/>
        <v>週日</v>
      </c>
      <c r="C7" s="39" t="s">
        <v>21</v>
      </c>
      <c r="D7" s="38">
        <v>0</v>
      </c>
      <c r="E7" s="38"/>
      <c r="F7" s="38"/>
      <c r="G7" s="38">
        <v>0</v>
      </c>
      <c r="H7" s="38"/>
      <c r="I7" s="38">
        <v>8</v>
      </c>
      <c r="J7" s="38">
        <v>4</v>
      </c>
      <c r="K7" s="38">
        <v>2</v>
      </c>
      <c r="L7" s="38">
        <v>2</v>
      </c>
      <c r="M7" s="38">
        <v>4</v>
      </c>
      <c r="N7" s="38" t="s">
        <v>22</v>
      </c>
      <c r="O7" s="39" t="s">
        <v>26</v>
      </c>
      <c r="P7" s="41" t="s">
        <v>27</v>
      </c>
    </row>
    <row r="8" spans="1:16" ht="16.5" customHeight="1">
      <c r="A8" s="36">
        <v>46279</v>
      </c>
      <c r="B8" s="7" t="str">
        <f t="shared" si="0"/>
        <v>週一</v>
      </c>
      <c r="C8" s="8" t="s">
        <v>16</v>
      </c>
      <c r="D8" s="7">
        <v>30</v>
      </c>
      <c r="E8" s="7">
        <v>3</v>
      </c>
      <c r="F8" s="7">
        <v>3</v>
      </c>
      <c r="G8" s="7">
        <v>47</v>
      </c>
      <c r="H8" s="9">
        <v>4</v>
      </c>
      <c r="I8" s="9">
        <v>6.5</v>
      </c>
      <c r="J8" s="9">
        <v>3</v>
      </c>
      <c r="K8" s="9">
        <v>3</v>
      </c>
      <c r="L8" s="9">
        <v>3</v>
      </c>
      <c r="M8" s="9">
        <v>3</v>
      </c>
      <c r="N8" s="7" t="s">
        <v>17</v>
      </c>
      <c r="O8" s="8" t="s">
        <v>18</v>
      </c>
      <c r="P8" s="10"/>
    </row>
    <row r="9" spans="1:16" ht="16.5" customHeight="1">
      <c r="A9" s="36">
        <v>46280</v>
      </c>
      <c r="B9" s="7" t="str">
        <f t="shared" si="0"/>
        <v>週二</v>
      </c>
      <c r="C9" s="8" t="s">
        <v>16</v>
      </c>
      <c r="D9" s="7">
        <v>30</v>
      </c>
      <c r="E9" s="7">
        <v>4</v>
      </c>
      <c r="F9" s="7">
        <v>3</v>
      </c>
      <c r="G9" s="7">
        <v>47</v>
      </c>
      <c r="H9" s="9">
        <v>6</v>
      </c>
      <c r="I9" s="9">
        <v>6</v>
      </c>
      <c r="J9" s="9">
        <v>2</v>
      </c>
      <c r="K9" s="9">
        <v>4</v>
      </c>
      <c r="L9" s="9">
        <v>4</v>
      </c>
      <c r="M9" s="9">
        <v>2</v>
      </c>
      <c r="N9" s="7" t="s">
        <v>17</v>
      </c>
      <c r="O9" s="8" t="s">
        <v>18</v>
      </c>
      <c r="P9" s="10" t="s">
        <v>28</v>
      </c>
    </row>
    <row r="10" spans="1:16" ht="16.5" customHeight="1">
      <c r="A10" s="37">
        <v>46281</v>
      </c>
      <c r="B10" s="38" t="str">
        <f t="shared" si="0"/>
        <v>週三</v>
      </c>
      <c r="C10" s="39" t="s">
        <v>21</v>
      </c>
      <c r="D10" s="38">
        <v>0</v>
      </c>
      <c r="E10" s="38"/>
      <c r="F10" s="38"/>
      <c r="G10" s="38">
        <v>0</v>
      </c>
      <c r="H10" s="38"/>
      <c r="I10" s="38">
        <v>5.5</v>
      </c>
      <c r="J10" s="38">
        <v>2</v>
      </c>
      <c r="K10" s="38">
        <v>4</v>
      </c>
      <c r="L10" s="38">
        <v>5</v>
      </c>
      <c r="M10" s="38">
        <v>2</v>
      </c>
      <c r="N10" s="38" t="s">
        <v>22</v>
      </c>
      <c r="O10" s="39" t="s">
        <v>29</v>
      </c>
      <c r="P10" s="40" t="s">
        <v>30</v>
      </c>
    </row>
    <row r="11" spans="1:16" ht="16.5" customHeight="1">
      <c r="A11" s="36">
        <v>46282</v>
      </c>
      <c r="B11" s="7" t="str">
        <f t="shared" si="0"/>
        <v>週四</v>
      </c>
      <c r="C11" s="8" t="s">
        <v>16</v>
      </c>
      <c r="D11" s="7">
        <v>30</v>
      </c>
      <c r="E11" s="7">
        <v>3</v>
      </c>
      <c r="F11" s="7">
        <v>3</v>
      </c>
      <c r="G11" s="7">
        <v>47</v>
      </c>
      <c r="H11" s="9">
        <v>5</v>
      </c>
      <c r="I11" s="9">
        <v>6.5</v>
      </c>
      <c r="J11" s="9">
        <v>3</v>
      </c>
      <c r="K11" s="9">
        <v>3</v>
      </c>
      <c r="L11" s="9">
        <v>3</v>
      </c>
      <c r="M11" s="9">
        <v>3</v>
      </c>
      <c r="N11" s="7" t="s">
        <v>17</v>
      </c>
      <c r="O11" s="8" t="s">
        <v>18</v>
      </c>
      <c r="P11" s="10"/>
    </row>
    <row r="12" spans="1:16" ht="16.5" customHeight="1">
      <c r="A12" s="36">
        <v>46283</v>
      </c>
      <c r="B12" s="7" t="str">
        <f t="shared" si="0"/>
        <v>週五</v>
      </c>
      <c r="C12" s="8" t="s">
        <v>16</v>
      </c>
      <c r="D12" s="7">
        <v>30</v>
      </c>
      <c r="E12" s="7">
        <v>3</v>
      </c>
      <c r="F12" s="7">
        <v>3</v>
      </c>
      <c r="G12" s="7">
        <v>47</v>
      </c>
      <c r="H12" s="9">
        <v>5</v>
      </c>
      <c r="I12" s="9">
        <v>7</v>
      </c>
      <c r="J12" s="9">
        <v>4</v>
      </c>
      <c r="K12" s="9">
        <v>2</v>
      </c>
      <c r="L12" s="9">
        <v>3</v>
      </c>
      <c r="M12" s="9">
        <v>4</v>
      </c>
      <c r="N12" s="7" t="s">
        <v>17</v>
      </c>
      <c r="O12" s="8" t="s">
        <v>18</v>
      </c>
      <c r="P12" s="10"/>
    </row>
    <row r="13" spans="1:16" ht="16.5" customHeight="1">
      <c r="A13" s="36">
        <v>46284</v>
      </c>
      <c r="B13" s="7" t="str">
        <f t="shared" si="0"/>
        <v>週六</v>
      </c>
      <c r="C13" s="8" t="s">
        <v>16</v>
      </c>
      <c r="D13" s="7">
        <v>30</v>
      </c>
      <c r="E13" s="7">
        <v>4</v>
      </c>
      <c r="F13" s="7">
        <v>3</v>
      </c>
      <c r="G13" s="7">
        <v>47</v>
      </c>
      <c r="H13" s="9">
        <v>7</v>
      </c>
      <c r="I13" s="9">
        <v>7.5</v>
      </c>
      <c r="J13" s="9">
        <v>4</v>
      </c>
      <c r="K13" s="9">
        <v>2</v>
      </c>
      <c r="L13" s="9">
        <v>3</v>
      </c>
      <c r="M13" s="9">
        <v>4</v>
      </c>
      <c r="N13" s="7" t="s">
        <v>17</v>
      </c>
      <c r="O13" s="8" t="s">
        <v>18</v>
      </c>
      <c r="P13" s="10" t="s">
        <v>31</v>
      </c>
    </row>
    <row r="14" spans="1:16" ht="16.5" customHeight="1">
      <c r="A14" s="36">
        <v>46285</v>
      </c>
      <c r="B14" s="7" t="str">
        <f t="shared" si="0"/>
        <v>週日</v>
      </c>
      <c r="C14" s="8" t="s">
        <v>16</v>
      </c>
      <c r="D14" s="7">
        <v>30</v>
      </c>
      <c r="E14" s="7">
        <v>3</v>
      </c>
      <c r="F14" s="7">
        <v>3</v>
      </c>
      <c r="G14" s="7">
        <v>47</v>
      </c>
      <c r="H14" s="9">
        <v>4</v>
      </c>
      <c r="I14" s="9">
        <v>7.5</v>
      </c>
      <c r="J14" s="9">
        <v>4</v>
      </c>
      <c r="K14" s="9">
        <v>2</v>
      </c>
      <c r="L14" s="9">
        <v>2</v>
      </c>
      <c r="M14" s="9">
        <v>5</v>
      </c>
      <c r="N14" s="7" t="s">
        <v>17</v>
      </c>
      <c r="O14" s="8" t="s">
        <v>18</v>
      </c>
      <c r="P14" s="10" t="s">
        <v>32</v>
      </c>
    </row>
    <row r="15" spans="1:16" ht="16.5" customHeight="1">
      <c r="A15" s="37">
        <v>46286</v>
      </c>
      <c r="B15" s="38" t="str">
        <f t="shared" si="0"/>
        <v>週一</v>
      </c>
      <c r="C15" s="39" t="s">
        <v>21</v>
      </c>
      <c r="D15" s="38">
        <v>0</v>
      </c>
      <c r="E15" s="38"/>
      <c r="F15" s="38"/>
      <c r="G15" s="38">
        <v>0</v>
      </c>
      <c r="H15" s="38"/>
      <c r="I15" s="38">
        <v>6.5</v>
      </c>
      <c r="J15" s="38">
        <v>3</v>
      </c>
      <c r="K15" s="38">
        <v>4</v>
      </c>
      <c r="L15" s="38">
        <v>4</v>
      </c>
      <c r="M15" s="38">
        <v>3</v>
      </c>
      <c r="N15" s="38" t="s">
        <v>22</v>
      </c>
      <c r="O15" s="39" t="s">
        <v>26</v>
      </c>
      <c r="P15" s="41" t="s">
        <v>33</v>
      </c>
    </row>
    <row r="16" spans="1:16" ht="16.5" customHeight="1">
      <c r="A16" s="36">
        <v>46287</v>
      </c>
      <c r="B16" s="7" t="str">
        <f t="shared" si="0"/>
        <v>週二</v>
      </c>
      <c r="C16" s="8" t="s">
        <v>16</v>
      </c>
      <c r="D16" s="7">
        <v>30</v>
      </c>
      <c r="E16" s="7">
        <v>4</v>
      </c>
      <c r="F16" s="7">
        <v>3</v>
      </c>
      <c r="G16" s="7">
        <v>47</v>
      </c>
      <c r="H16" s="9">
        <v>6</v>
      </c>
      <c r="I16" s="9">
        <v>6.5</v>
      </c>
      <c r="J16" s="9">
        <v>3</v>
      </c>
      <c r="K16" s="9">
        <v>3</v>
      </c>
      <c r="L16" s="9">
        <v>3</v>
      </c>
      <c r="M16" s="9">
        <v>3</v>
      </c>
      <c r="N16" s="7" t="s">
        <v>17</v>
      </c>
      <c r="O16" s="8" t="s">
        <v>18</v>
      </c>
      <c r="P16" s="10"/>
    </row>
    <row r="17" spans="1:16" ht="36" customHeight="1">
      <c r="A17" s="36">
        <v>46288</v>
      </c>
      <c r="B17" s="7" t="str">
        <f t="shared" si="0"/>
        <v>週三</v>
      </c>
      <c r="C17" s="8" t="s">
        <v>16</v>
      </c>
      <c r="D17" s="7">
        <v>30</v>
      </c>
      <c r="E17" s="7">
        <v>3</v>
      </c>
      <c r="F17" s="7">
        <v>3</v>
      </c>
      <c r="G17" s="7">
        <v>47</v>
      </c>
      <c r="H17" s="9">
        <v>5</v>
      </c>
      <c r="I17" s="9">
        <v>7</v>
      </c>
      <c r="J17" s="9">
        <v>3</v>
      </c>
      <c r="K17" s="9">
        <v>3</v>
      </c>
      <c r="L17" s="9">
        <v>3</v>
      </c>
      <c r="M17" s="9">
        <v>4</v>
      </c>
      <c r="N17" s="7" t="s">
        <v>17</v>
      </c>
      <c r="O17" s="8" t="s">
        <v>18</v>
      </c>
      <c r="P17" s="10" t="s">
        <v>34</v>
      </c>
    </row>
    <row r="18" spans="1:16" ht="15" customHeight="1">
      <c r="A18" s="37">
        <v>46289</v>
      </c>
      <c r="B18" s="38" t="str">
        <f t="shared" si="0"/>
        <v>週四</v>
      </c>
      <c r="C18" s="42" t="s">
        <v>21</v>
      </c>
      <c r="D18" s="38">
        <v>0</v>
      </c>
      <c r="E18" s="38"/>
      <c r="F18" s="38"/>
      <c r="G18" s="38">
        <v>0</v>
      </c>
      <c r="H18" s="38"/>
      <c r="I18" s="38"/>
      <c r="J18" s="38"/>
      <c r="K18" s="38"/>
      <c r="L18" s="38"/>
      <c r="M18" s="38"/>
      <c r="N18" s="38"/>
      <c r="O18" s="42"/>
      <c r="P18" s="43"/>
    </row>
    <row r="19" spans="1:16" ht="15" customHeight="1">
      <c r="A19" s="44">
        <v>46290</v>
      </c>
      <c r="B19" s="11" t="str">
        <f t="shared" si="0"/>
        <v>週五</v>
      </c>
      <c r="C19" s="12" t="s">
        <v>16</v>
      </c>
      <c r="D19" s="13">
        <v>30</v>
      </c>
      <c r="E19" s="14"/>
      <c r="F19" s="13">
        <v>3</v>
      </c>
      <c r="G19" s="13">
        <v>47</v>
      </c>
      <c r="H19" s="14"/>
      <c r="I19" s="14"/>
      <c r="J19" s="14"/>
      <c r="K19" s="14"/>
      <c r="L19" s="14"/>
      <c r="M19" s="14"/>
      <c r="N19" s="14"/>
      <c r="O19" s="16"/>
      <c r="P19" s="15"/>
    </row>
    <row r="20" spans="1:16" ht="15" customHeight="1">
      <c r="A20" s="44">
        <v>46291</v>
      </c>
      <c r="B20" s="11" t="str">
        <f t="shared" si="0"/>
        <v>週六</v>
      </c>
      <c r="C20" s="12" t="s">
        <v>16</v>
      </c>
      <c r="D20" s="13">
        <v>30</v>
      </c>
      <c r="E20" s="14"/>
      <c r="F20" s="13">
        <v>3</v>
      </c>
      <c r="G20" s="13">
        <v>47</v>
      </c>
      <c r="H20" s="14"/>
      <c r="I20" s="14"/>
      <c r="J20" s="14"/>
      <c r="K20" s="14"/>
      <c r="L20" s="14"/>
      <c r="M20" s="14"/>
      <c r="N20" s="14"/>
      <c r="O20" s="16"/>
      <c r="P20" s="15"/>
    </row>
    <row r="21" spans="1:16" ht="15" customHeight="1">
      <c r="A21" s="44">
        <v>46292</v>
      </c>
      <c r="B21" s="11" t="str">
        <f t="shared" si="0"/>
        <v>週日</v>
      </c>
      <c r="C21" s="12" t="s">
        <v>16</v>
      </c>
      <c r="D21" s="13">
        <v>30</v>
      </c>
      <c r="E21" s="14"/>
      <c r="F21" s="13">
        <v>3</v>
      </c>
      <c r="G21" s="13">
        <v>47</v>
      </c>
      <c r="H21" s="14"/>
      <c r="I21" s="14"/>
      <c r="J21" s="14"/>
      <c r="K21" s="14"/>
      <c r="L21" s="14"/>
      <c r="M21" s="14"/>
      <c r="N21" s="14"/>
      <c r="O21" s="16"/>
      <c r="P21" s="15"/>
    </row>
    <row r="22" spans="1:16" ht="15" customHeight="1">
      <c r="A22" s="37">
        <v>46293</v>
      </c>
      <c r="B22" s="38" t="str">
        <f t="shared" si="0"/>
        <v>週一</v>
      </c>
      <c r="C22" s="42" t="s">
        <v>21</v>
      </c>
      <c r="D22" s="38">
        <v>0</v>
      </c>
      <c r="E22" s="38"/>
      <c r="F22" s="38"/>
      <c r="G22" s="38">
        <v>0</v>
      </c>
      <c r="H22" s="38"/>
      <c r="I22" s="38"/>
      <c r="J22" s="38"/>
      <c r="K22" s="38"/>
      <c r="L22" s="38"/>
      <c r="M22" s="38"/>
      <c r="N22" s="38"/>
      <c r="O22" s="42"/>
      <c r="P22" s="43"/>
    </row>
    <row r="23" spans="1:16" ht="15" customHeight="1">
      <c r="A23" s="44">
        <v>46294</v>
      </c>
      <c r="B23" s="11" t="str">
        <f t="shared" si="0"/>
        <v>週二</v>
      </c>
      <c r="C23" s="12" t="s">
        <v>16</v>
      </c>
      <c r="D23" s="13">
        <v>30</v>
      </c>
      <c r="E23" s="14"/>
      <c r="F23" s="13">
        <v>3</v>
      </c>
      <c r="G23" s="13">
        <v>47</v>
      </c>
      <c r="H23" s="14"/>
      <c r="I23" s="14"/>
      <c r="J23" s="14"/>
      <c r="K23" s="14"/>
      <c r="L23" s="14"/>
      <c r="M23" s="14"/>
      <c r="N23" s="14"/>
      <c r="O23" s="16"/>
      <c r="P23" s="15"/>
    </row>
    <row r="24" spans="1:16" ht="15" customHeight="1">
      <c r="A24" s="37">
        <v>46295</v>
      </c>
      <c r="B24" s="38" t="str">
        <f t="shared" si="0"/>
        <v>週三</v>
      </c>
      <c r="C24" s="42" t="s">
        <v>21</v>
      </c>
      <c r="D24" s="38">
        <v>0</v>
      </c>
      <c r="E24" s="38"/>
      <c r="F24" s="38"/>
      <c r="G24" s="38">
        <v>0</v>
      </c>
      <c r="H24" s="38"/>
      <c r="I24" s="38"/>
      <c r="J24" s="38"/>
      <c r="K24" s="38"/>
      <c r="L24" s="38"/>
      <c r="M24" s="38"/>
      <c r="N24" s="38"/>
      <c r="O24" s="42"/>
      <c r="P24" s="43"/>
    </row>
    <row r="25" spans="1:16" ht="15" customHeight="1">
      <c r="A25" s="37">
        <v>46296</v>
      </c>
      <c r="B25" s="38" t="str">
        <f t="shared" si="0"/>
        <v>週四</v>
      </c>
      <c r="C25" s="42" t="s">
        <v>21</v>
      </c>
      <c r="D25" s="38">
        <v>0</v>
      </c>
      <c r="E25" s="38"/>
      <c r="F25" s="38"/>
      <c r="G25" s="38">
        <v>0</v>
      </c>
      <c r="H25" s="38"/>
      <c r="I25" s="38"/>
      <c r="J25" s="38"/>
      <c r="K25" s="38"/>
      <c r="L25" s="38"/>
      <c r="M25" s="38"/>
      <c r="N25" s="38"/>
      <c r="O25" s="42"/>
      <c r="P25" s="43"/>
    </row>
    <row r="26" spans="1:16" ht="15" customHeight="1">
      <c r="A26" s="44">
        <v>46297</v>
      </c>
      <c r="B26" s="11" t="str">
        <f t="shared" si="0"/>
        <v>週五</v>
      </c>
      <c r="C26" s="12" t="s">
        <v>16</v>
      </c>
      <c r="D26" s="13">
        <v>30</v>
      </c>
      <c r="E26" s="14"/>
      <c r="F26" s="13">
        <v>3</v>
      </c>
      <c r="G26" s="13">
        <v>47</v>
      </c>
      <c r="H26" s="14"/>
      <c r="I26" s="14"/>
      <c r="J26" s="14"/>
      <c r="K26" s="14"/>
      <c r="L26" s="14"/>
      <c r="M26" s="14"/>
      <c r="N26" s="14"/>
      <c r="O26" s="16"/>
      <c r="P26" s="15"/>
    </row>
    <row r="27" spans="1:16" ht="15" customHeight="1">
      <c r="A27" s="44">
        <v>46298</v>
      </c>
      <c r="B27" s="11" t="str">
        <f t="shared" si="0"/>
        <v>週六</v>
      </c>
      <c r="C27" s="12" t="s">
        <v>16</v>
      </c>
      <c r="D27" s="13">
        <v>30</v>
      </c>
      <c r="E27" s="14"/>
      <c r="F27" s="13">
        <v>3</v>
      </c>
      <c r="G27" s="13">
        <v>47</v>
      </c>
      <c r="H27" s="14"/>
      <c r="I27" s="14"/>
      <c r="J27" s="14"/>
      <c r="K27" s="14"/>
      <c r="L27" s="14"/>
      <c r="M27" s="14"/>
      <c r="N27" s="14"/>
      <c r="O27" s="16"/>
      <c r="P27" s="15"/>
    </row>
    <row r="28" spans="1:16" ht="15" customHeight="1">
      <c r="A28" s="44">
        <v>46299</v>
      </c>
      <c r="B28" s="11" t="str">
        <f t="shared" si="0"/>
        <v>週日</v>
      </c>
      <c r="C28" s="12" t="s">
        <v>16</v>
      </c>
      <c r="D28" s="13">
        <v>30</v>
      </c>
      <c r="E28" s="14"/>
      <c r="F28" s="13">
        <v>3</v>
      </c>
      <c r="G28" s="13">
        <v>47</v>
      </c>
      <c r="H28" s="14"/>
      <c r="I28" s="14"/>
      <c r="J28" s="14"/>
      <c r="K28" s="14"/>
      <c r="L28" s="14"/>
      <c r="M28" s="14"/>
      <c r="N28" s="14"/>
      <c r="O28" s="16"/>
      <c r="P28" s="15"/>
    </row>
    <row r="29" spans="1:16" ht="15" customHeight="1">
      <c r="A29" s="37">
        <v>46300</v>
      </c>
      <c r="B29" s="38" t="str">
        <f t="shared" si="0"/>
        <v>週一</v>
      </c>
      <c r="C29" s="42" t="s">
        <v>21</v>
      </c>
      <c r="D29" s="38">
        <v>0</v>
      </c>
      <c r="E29" s="38"/>
      <c r="F29" s="38"/>
      <c r="G29" s="38">
        <v>0</v>
      </c>
      <c r="H29" s="38"/>
      <c r="I29" s="38"/>
      <c r="J29" s="38"/>
      <c r="K29" s="38"/>
      <c r="L29" s="38"/>
      <c r="M29" s="38"/>
      <c r="N29" s="38"/>
      <c r="O29" s="42"/>
      <c r="P29" s="43"/>
    </row>
    <row r="30" spans="1:16" ht="15" customHeight="1">
      <c r="A30" s="44">
        <v>46301</v>
      </c>
      <c r="B30" s="11" t="str">
        <f t="shared" si="0"/>
        <v>週二</v>
      </c>
      <c r="C30" s="12" t="s">
        <v>16</v>
      </c>
      <c r="D30" s="13">
        <v>30</v>
      </c>
      <c r="E30" s="14"/>
      <c r="F30" s="13">
        <v>3</v>
      </c>
      <c r="G30" s="13">
        <v>47</v>
      </c>
      <c r="H30" s="14"/>
      <c r="I30" s="14"/>
      <c r="J30" s="14"/>
      <c r="K30" s="14"/>
      <c r="L30" s="14"/>
      <c r="M30" s="14"/>
      <c r="N30" s="14"/>
      <c r="O30" s="16"/>
      <c r="P30" s="15"/>
    </row>
    <row r="31" spans="1:16" ht="15" customHeight="1">
      <c r="A31" s="37">
        <v>46302</v>
      </c>
      <c r="B31" s="38" t="str">
        <f t="shared" si="0"/>
        <v>週三</v>
      </c>
      <c r="C31" s="42" t="s">
        <v>21</v>
      </c>
      <c r="D31" s="38">
        <v>0</v>
      </c>
      <c r="E31" s="38"/>
      <c r="F31" s="38"/>
      <c r="G31" s="38">
        <v>0</v>
      </c>
      <c r="H31" s="38"/>
      <c r="I31" s="38"/>
      <c r="J31" s="38"/>
      <c r="K31" s="38"/>
      <c r="L31" s="38"/>
      <c r="M31" s="38"/>
      <c r="N31" s="38"/>
      <c r="O31" s="42"/>
      <c r="P31" s="43"/>
    </row>
    <row r="32" spans="1:16" ht="15" customHeight="1">
      <c r="A32" s="37">
        <v>46303</v>
      </c>
      <c r="B32" s="38" t="str">
        <f t="shared" si="0"/>
        <v>週四</v>
      </c>
      <c r="C32" s="42" t="s">
        <v>21</v>
      </c>
      <c r="D32" s="38">
        <v>0</v>
      </c>
      <c r="E32" s="38"/>
      <c r="F32" s="38"/>
      <c r="G32" s="38">
        <v>0</v>
      </c>
      <c r="H32" s="38"/>
      <c r="I32" s="38"/>
      <c r="J32" s="38"/>
      <c r="K32" s="38"/>
      <c r="L32" s="38"/>
      <c r="M32" s="38"/>
      <c r="N32" s="38"/>
      <c r="O32" s="42"/>
      <c r="P32" s="43"/>
    </row>
    <row r="33" spans="1:16" ht="15" customHeight="1">
      <c r="A33" s="44">
        <v>46304</v>
      </c>
      <c r="B33" s="11" t="str">
        <f t="shared" si="0"/>
        <v>週五</v>
      </c>
      <c r="C33" s="12" t="s">
        <v>16</v>
      </c>
      <c r="D33" s="13">
        <v>30</v>
      </c>
      <c r="E33" s="14"/>
      <c r="F33" s="13">
        <v>3</v>
      </c>
      <c r="G33" s="13">
        <v>47</v>
      </c>
      <c r="H33" s="14"/>
      <c r="I33" s="14"/>
      <c r="J33" s="14"/>
      <c r="K33" s="14"/>
      <c r="L33" s="14"/>
      <c r="M33" s="14"/>
      <c r="N33" s="14"/>
      <c r="O33" s="16"/>
      <c r="P33" s="15"/>
    </row>
    <row r="34" spans="1:16" ht="15" customHeight="1">
      <c r="A34" s="44">
        <v>46305</v>
      </c>
      <c r="B34" s="11" t="str">
        <f t="shared" ref="B34:B65" si="1">IF(A34="","",TEXT(A34,"aaa"))</f>
        <v>週六</v>
      </c>
      <c r="C34" s="12" t="s">
        <v>16</v>
      </c>
      <c r="D34" s="13">
        <v>30</v>
      </c>
      <c r="E34" s="14"/>
      <c r="F34" s="13">
        <v>3</v>
      </c>
      <c r="G34" s="13">
        <v>47</v>
      </c>
      <c r="H34" s="14"/>
      <c r="I34" s="14"/>
      <c r="J34" s="14"/>
      <c r="K34" s="14"/>
      <c r="L34" s="14"/>
      <c r="M34" s="14"/>
      <c r="N34" s="14"/>
      <c r="O34" s="16"/>
      <c r="P34" s="15"/>
    </row>
    <row r="35" spans="1:16" ht="15" customHeight="1">
      <c r="A35" s="44">
        <v>46306</v>
      </c>
      <c r="B35" s="11" t="str">
        <f t="shared" si="1"/>
        <v>週日</v>
      </c>
      <c r="C35" s="12" t="s">
        <v>16</v>
      </c>
      <c r="D35" s="13">
        <v>30</v>
      </c>
      <c r="E35" s="14"/>
      <c r="F35" s="13">
        <v>3</v>
      </c>
      <c r="G35" s="13">
        <v>47</v>
      </c>
      <c r="H35" s="14"/>
      <c r="I35" s="14"/>
      <c r="J35" s="14"/>
      <c r="K35" s="14"/>
      <c r="L35" s="14"/>
      <c r="M35" s="14"/>
      <c r="N35" s="14"/>
      <c r="O35" s="16"/>
      <c r="P35" s="15"/>
    </row>
    <row r="36" spans="1:16" ht="15" customHeight="1">
      <c r="A36" s="37">
        <v>46307</v>
      </c>
      <c r="B36" s="38" t="str">
        <f t="shared" si="1"/>
        <v>週一</v>
      </c>
      <c r="C36" s="42" t="s">
        <v>21</v>
      </c>
      <c r="D36" s="38">
        <v>0</v>
      </c>
      <c r="E36" s="38"/>
      <c r="F36" s="38"/>
      <c r="G36" s="38">
        <v>0</v>
      </c>
      <c r="H36" s="38"/>
      <c r="I36" s="38"/>
      <c r="J36" s="38"/>
      <c r="K36" s="38"/>
      <c r="L36" s="38"/>
      <c r="M36" s="38"/>
      <c r="N36" s="38"/>
      <c r="O36" s="42"/>
      <c r="P36" s="43"/>
    </row>
    <row r="37" spans="1:16" ht="15" customHeight="1">
      <c r="A37" s="44">
        <v>46308</v>
      </c>
      <c r="B37" s="11" t="str">
        <f t="shared" si="1"/>
        <v>週二</v>
      </c>
      <c r="C37" s="12" t="s">
        <v>16</v>
      </c>
      <c r="D37" s="13">
        <v>30</v>
      </c>
      <c r="E37" s="14"/>
      <c r="F37" s="13">
        <v>3</v>
      </c>
      <c r="G37" s="13">
        <v>47</v>
      </c>
      <c r="H37" s="14"/>
      <c r="I37" s="14"/>
      <c r="J37" s="14"/>
      <c r="K37" s="14"/>
      <c r="L37" s="14"/>
      <c r="M37" s="14"/>
      <c r="N37" s="14"/>
      <c r="O37" s="16"/>
      <c r="P37" s="15"/>
    </row>
    <row r="38" spans="1:16" ht="15" customHeight="1">
      <c r="A38" s="37">
        <v>46309</v>
      </c>
      <c r="B38" s="38" t="str">
        <f t="shared" si="1"/>
        <v>週三</v>
      </c>
      <c r="C38" s="42" t="s">
        <v>21</v>
      </c>
      <c r="D38" s="38">
        <v>0</v>
      </c>
      <c r="E38" s="38"/>
      <c r="F38" s="38"/>
      <c r="G38" s="38">
        <v>0</v>
      </c>
      <c r="H38" s="38"/>
      <c r="I38" s="38"/>
      <c r="J38" s="38"/>
      <c r="K38" s="38"/>
      <c r="L38" s="38"/>
      <c r="M38" s="38"/>
      <c r="N38" s="38"/>
      <c r="O38" s="42"/>
      <c r="P38" s="43"/>
    </row>
    <row r="39" spans="1:16" ht="15" customHeight="1">
      <c r="A39" s="37">
        <v>46310</v>
      </c>
      <c r="B39" s="38" t="str">
        <f t="shared" si="1"/>
        <v>週四</v>
      </c>
      <c r="C39" s="42" t="s">
        <v>21</v>
      </c>
      <c r="D39" s="38">
        <v>0</v>
      </c>
      <c r="E39" s="38"/>
      <c r="F39" s="38"/>
      <c r="G39" s="38">
        <v>0</v>
      </c>
      <c r="H39" s="38"/>
      <c r="I39" s="38"/>
      <c r="J39" s="38"/>
      <c r="K39" s="38"/>
      <c r="L39" s="38"/>
      <c r="M39" s="38"/>
      <c r="N39" s="38"/>
      <c r="O39" s="42"/>
      <c r="P39" s="43"/>
    </row>
    <row r="40" spans="1:16" ht="15" customHeight="1">
      <c r="A40" s="44">
        <v>46311</v>
      </c>
      <c r="B40" s="11" t="str">
        <f t="shared" si="1"/>
        <v>週五</v>
      </c>
      <c r="C40" s="12" t="s">
        <v>16</v>
      </c>
      <c r="D40" s="13">
        <v>30</v>
      </c>
      <c r="E40" s="14"/>
      <c r="F40" s="13">
        <v>3</v>
      </c>
      <c r="G40" s="13">
        <v>47</v>
      </c>
      <c r="H40" s="14"/>
      <c r="I40" s="14"/>
      <c r="J40" s="14"/>
      <c r="K40" s="14"/>
      <c r="L40" s="14"/>
      <c r="M40" s="14"/>
      <c r="N40" s="14"/>
      <c r="O40" s="16"/>
      <c r="P40" s="15"/>
    </row>
    <row r="41" spans="1:16" ht="15" customHeight="1">
      <c r="A41" s="44">
        <v>46312</v>
      </c>
      <c r="B41" s="11" t="str">
        <f t="shared" si="1"/>
        <v>週六</v>
      </c>
      <c r="C41" s="12" t="s">
        <v>16</v>
      </c>
      <c r="D41" s="13">
        <v>30</v>
      </c>
      <c r="E41" s="14"/>
      <c r="F41" s="13">
        <v>3</v>
      </c>
      <c r="G41" s="13">
        <v>47</v>
      </c>
      <c r="H41" s="14"/>
      <c r="I41" s="14"/>
      <c r="J41" s="14"/>
      <c r="K41" s="14"/>
      <c r="L41" s="14"/>
      <c r="M41" s="14"/>
      <c r="N41" s="14"/>
      <c r="O41" s="16"/>
      <c r="P41" s="15"/>
    </row>
    <row r="42" spans="1:16" ht="15" customHeight="1">
      <c r="A42" s="44">
        <v>46313</v>
      </c>
      <c r="B42" s="11" t="str">
        <f t="shared" si="1"/>
        <v>週日</v>
      </c>
      <c r="C42" s="12" t="s">
        <v>16</v>
      </c>
      <c r="D42" s="13">
        <v>30</v>
      </c>
      <c r="E42" s="14"/>
      <c r="F42" s="13">
        <v>3</v>
      </c>
      <c r="G42" s="13">
        <v>47</v>
      </c>
      <c r="H42" s="14"/>
      <c r="I42" s="14"/>
      <c r="J42" s="14"/>
      <c r="K42" s="14"/>
      <c r="L42" s="14"/>
      <c r="M42" s="14"/>
      <c r="N42" s="14"/>
      <c r="O42" s="16"/>
      <c r="P42" s="15"/>
    </row>
    <row r="43" spans="1:16" ht="15" customHeight="1">
      <c r="A43" s="37">
        <v>46314</v>
      </c>
      <c r="B43" s="38" t="str">
        <f t="shared" si="1"/>
        <v>週一</v>
      </c>
      <c r="C43" s="42" t="s">
        <v>21</v>
      </c>
      <c r="D43" s="38">
        <v>0</v>
      </c>
      <c r="E43" s="38"/>
      <c r="F43" s="38"/>
      <c r="G43" s="38">
        <v>0</v>
      </c>
      <c r="H43" s="38"/>
      <c r="I43" s="38"/>
      <c r="J43" s="38"/>
      <c r="K43" s="38"/>
      <c r="L43" s="38"/>
      <c r="M43" s="38"/>
      <c r="N43" s="38"/>
      <c r="O43" s="42"/>
      <c r="P43" s="43"/>
    </row>
    <row r="44" spans="1:16" ht="15" customHeight="1">
      <c r="A44" s="44">
        <v>46315</v>
      </c>
      <c r="B44" s="11" t="str">
        <f t="shared" si="1"/>
        <v>週二</v>
      </c>
      <c r="C44" s="12" t="s">
        <v>16</v>
      </c>
      <c r="D44" s="13">
        <v>30</v>
      </c>
      <c r="E44" s="14"/>
      <c r="F44" s="13">
        <v>3</v>
      </c>
      <c r="G44" s="13">
        <v>47</v>
      </c>
      <c r="H44" s="14"/>
      <c r="I44" s="14"/>
      <c r="J44" s="14"/>
      <c r="K44" s="14"/>
      <c r="L44" s="14"/>
      <c r="M44" s="14"/>
      <c r="N44" s="14"/>
      <c r="O44" s="16"/>
      <c r="P44" s="15"/>
    </row>
    <row r="45" spans="1:16" ht="15" customHeight="1">
      <c r="A45" s="37">
        <v>46316</v>
      </c>
      <c r="B45" s="38" t="str">
        <f t="shared" si="1"/>
        <v>週三</v>
      </c>
      <c r="C45" s="42" t="s">
        <v>21</v>
      </c>
      <c r="D45" s="38">
        <v>0</v>
      </c>
      <c r="E45" s="38"/>
      <c r="F45" s="38"/>
      <c r="G45" s="38">
        <v>0</v>
      </c>
      <c r="H45" s="38"/>
      <c r="I45" s="38"/>
      <c r="J45" s="38"/>
      <c r="K45" s="38"/>
      <c r="L45" s="38"/>
      <c r="M45" s="38"/>
      <c r="N45" s="38"/>
      <c r="O45" s="42"/>
      <c r="P45" s="43"/>
    </row>
    <row r="46" spans="1:16" ht="15" customHeight="1">
      <c r="A46" s="37">
        <v>46317</v>
      </c>
      <c r="B46" s="38" t="str">
        <f t="shared" si="1"/>
        <v>週四</v>
      </c>
      <c r="C46" s="42" t="s">
        <v>21</v>
      </c>
      <c r="D46" s="38">
        <v>0</v>
      </c>
      <c r="E46" s="38"/>
      <c r="F46" s="38"/>
      <c r="G46" s="38">
        <v>0</v>
      </c>
      <c r="H46" s="38"/>
      <c r="I46" s="38"/>
      <c r="J46" s="38"/>
      <c r="K46" s="38"/>
      <c r="L46" s="38"/>
      <c r="M46" s="38"/>
      <c r="N46" s="38"/>
      <c r="O46" s="42"/>
      <c r="P46" s="43"/>
    </row>
    <row r="47" spans="1:16" ht="15" customHeight="1">
      <c r="A47" s="44">
        <v>46318</v>
      </c>
      <c r="B47" s="11" t="str">
        <f t="shared" si="1"/>
        <v>週五</v>
      </c>
      <c r="C47" s="12" t="s">
        <v>16</v>
      </c>
      <c r="D47" s="13">
        <v>30</v>
      </c>
      <c r="E47" s="14"/>
      <c r="F47" s="13">
        <v>3</v>
      </c>
      <c r="G47" s="13">
        <v>47</v>
      </c>
      <c r="H47" s="14"/>
      <c r="I47" s="14"/>
      <c r="J47" s="14"/>
      <c r="K47" s="14"/>
      <c r="L47" s="14"/>
      <c r="M47" s="14"/>
      <c r="N47" s="14"/>
      <c r="O47" s="16"/>
      <c r="P47" s="15"/>
    </row>
    <row r="48" spans="1:16" ht="15" customHeight="1">
      <c r="A48" s="44">
        <v>46319</v>
      </c>
      <c r="B48" s="11" t="str">
        <f t="shared" si="1"/>
        <v>週六</v>
      </c>
      <c r="C48" s="12" t="s">
        <v>16</v>
      </c>
      <c r="D48" s="13">
        <v>30</v>
      </c>
      <c r="E48" s="14"/>
      <c r="F48" s="13">
        <v>3</v>
      </c>
      <c r="G48" s="13">
        <v>47</v>
      </c>
      <c r="H48" s="14"/>
      <c r="I48" s="14"/>
      <c r="J48" s="14"/>
      <c r="K48" s="14"/>
      <c r="L48" s="14"/>
      <c r="M48" s="14"/>
      <c r="N48" s="14"/>
      <c r="O48" s="16"/>
      <c r="P48" s="15"/>
    </row>
    <row r="49" spans="1:16" ht="15" customHeight="1">
      <c r="A49" s="44">
        <v>46320</v>
      </c>
      <c r="B49" s="11" t="str">
        <f t="shared" si="1"/>
        <v>週日</v>
      </c>
      <c r="C49" s="12" t="s">
        <v>16</v>
      </c>
      <c r="D49" s="13">
        <v>30</v>
      </c>
      <c r="E49" s="14"/>
      <c r="F49" s="13">
        <v>3</v>
      </c>
      <c r="G49" s="13">
        <v>47</v>
      </c>
      <c r="H49" s="14"/>
      <c r="I49" s="14"/>
      <c r="J49" s="14"/>
      <c r="K49" s="14"/>
      <c r="L49" s="14"/>
      <c r="M49" s="14"/>
      <c r="N49" s="14"/>
      <c r="O49" s="16"/>
      <c r="P49" s="15"/>
    </row>
    <row r="50" spans="1:16" ht="15" customHeight="1">
      <c r="A50" s="37">
        <v>46321</v>
      </c>
      <c r="B50" s="38" t="str">
        <f t="shared" si="1"/>
        <v>週一</v>
      </c>
      <c r="C50" s="42" t="s">
        <v>21</v>
      </c>
      <c r="D50" s="38">
        <v>0</v>
      </c>
      <c r="E50" s="38"/>
      <c r="F50" s="38"/>
      <c r="G50" s="38">
        <v>0</v>
      </c>
      <c r="H50" s="38"/>
      <c r="I50" s="38"/>
      <c r="J50" s="38"/>
      <c r="K50" s="38"/>
      <c r="L50" s="38"/>
      <c r="M50" s="38"/>
      <c r="N50" s="38"/>
      <c r="O50" s="42"/>
      <c r="P50" s="43"/>
    </row>
    <row r="51" spans="1:16" ht="15" customHeight="1">
      <c r="A51" s="44">
        <v>46322</v>
      </c>
      <c r="B51" s="11" t="str">
        <f t="shared" si="1"/>
        <v>週二</v>
      </c>
      <c r="C51" s="12" t="s">
        <v>16</v>
      </c>
      <c r="D51" s="13">
        <v>30</v>
      </c>
      <c r="E51" s="14"/>
      <c r="F51" s="13">
        <v>3</v>
      </c>
      <c r="G51" s="13">
        <v>47</v>
      </c>
      <c r="H51" s="14"/>
      <c r="I51" s="14"/>
      <c r="J51" s="14"/>
      <c r="K51" s="14"/>
      <c r="L51" s="14"/>
      <c r="M51" s="14"/>
      <c r="N51" s="14"/>
      <c r="O51" s="16"/>
      <c r="P51" s="15"/>
    </row>
    <row r="52" spans="1:16" ht="15" customHeight="1">
      <c r="A52" s="37">
        <v>46323</v>
      </c>
      <c r="B52" s="38" t="str">
        <f t="shared" si="1"/>
        <v>週三</v>
      </c>
      <c r="C52" s="42" t="s">
        <v>21</v>
      </c>
      <c r="D52" s="38">
        <v>0</v>
      </c>
      <c r="E52" s="38"/>
      <c r="F52" s="38"/>
      <c r="G52" s="38">
        <v>0</v>
      </c>
      <c r="H52" s="38"/>
      <c r="I52" s="38"/>
      <c r="J52" s="38"/>
      <c r="K52" s="38"/>
      <c r="L52" s="38"/>
      <c r="M52" s="38"/>
      <c r="N52" s="38"/>
      <c r="O52" s="42"/>
      <c r="P52" s="43"/>
    </row>
    <row r="53" spans="1:16" ht="15" customHeight="1">
      <c r="A53" s="37">
        <v>46324</v>
      </c>
      <c r="B53" s="38" t="str">
        <f t="shared" si="1"/>
        <v>週四</v>
      </c>
      <c r="C53" s="42" t="s">
        <v>21</v>
      </c>
      <c r="D53" s="38">
        <v>0</v>
      </c>
      <c r="E53" s="38"/>
      <c r="F53" s="38"/>
      <c r="G53" s="38">
        <v>0</v>
      </c>
      <c r="H53" s="38"/>
      <c r="I53" s="38"/>
      <c r="J53" s="38"/>
      <c r="K53" s="38"/>
      <c r="L53" s="38"/>
      <c r="M53" s="38"/>
      <c r="N53" s="38"/>
      <c r="O53" s="42"/>
      <c r="P53" s="43"/>
    </row>
    <row r="54" spans="1:16" ht="15" customHeight="1">
      <c r="A54" s="44">
        <v>46325</v>
      </c>
      <c r="B54" s="11" t="str">
        <f t="shared" si="1"/>
        <v>週五</v>
      </c>
      <c r="C54" s="12" t="s">
        <v>16</v>
      </c>
      <c r="D54" s="13">
        <v>30</v>
      </c>
      <c r="E54" s="14"/>
      <c r="F54" s="13">
        <v>3</v>
      </c>
      <c r="G54" s="13">
        <v>47</v>
      </c>
      <c r="H54" s="14"/>
      <c r="I54" s="14"/>
      <c r="J54" s="14"/>
      <c r="K54" s="14"/>
      <c r="L54" s="14"/>
      <c r="M54" s="14"/>
      <c r="N54" s="14"/>
      <c r="O54" s="16"/>
      <c r="P54" s="15"/>
    </row>
    <row r="55" spans="1:16" ht="15" customHeight="1">
      <c r="A55" s="44">
        <v>46326</v>
      </c>
      <c r="B55" s="11" t="str">
        <f t="shared" si="1"/>
        <v>週六</v>
      </c>
      <c r="C55" s="12" t="s">
        <v>16</v>
      </c>
      <c r="D55" s="13">
        <v>30</v>
      </c>
      <c r="E55" s="14"/>
      <c r="F55" s="13">
        <v>3</v>
      </c>
      <c r="G55" s="13">
        <v>47</v>
      </c>
      <c r="H55" s="14"/>
      <c r="I55" s="14"/>
      <c r="J55" s="14"/>
      <c r="K55" s="14"/>
      <c r="L55" s="14"/>
      <c r="M55" s="14"/>
      <c r="N55" s="14"/>
      <c r="O55" s="16"/>
      <c r="P55" s="15"/>
    </row>
    <row r="56" spans="1:16" ht="15" customHeight="1">
      <c r="A56" s="44">
        <v>46327</v>
      </c>
      <c r="B56" s="11" t="str">
        <f t="shared" si="1"/>
        <v>週日</v>
      </c>
      <c r="C56" s="12" t="s">
        <v>16</v>
      </c>
      <c r="D56" s="13">
        <v>30</v>
      </c>
      <c r="E56" s="14"/>
      <c r="F56" s="13">
        <v>3</v>
      </c>
      <c r="G56" s="13">
        <v>47</v>
      </c>
      <c r="H56" s="14"/>
      <c r="I56" s="14"/>
      <c r="J56" s="14"/>
      <c r="K56" s="14"/>
      <c r="L56" s="14"/>
      <c r="M56" s="14"/>
      <c r="N56" s="14"/>
      <c r="O56" s="16"/>
      <c r="P56" s="15"/>
    </row>
    <row r="57" spans="1:16" ht="15" customHeight="1">
      <c r="A57" s="37">
        <v>46328</v>
      </c>
      <c r="B57" s="38" t="str">
        <f t="shared" si="1"/>
        <v>週一</v>
      </c>
      <c r="C57" s="42" t="s">
        <v>21</v>
      </c>
      <c r="D57" s="38">
        <v>0</v>
      </c>
      <c r="E57" s="38"/>
      <c r="F57" s="38"/>
      <c r="G57" s="38">
        <v>0</v>
      </c>
      <c r="H57" s="38"/>
      <c r="I57" s="38"/>
      <c r="J57" s="38"/>
      <c r="K57" s="38"/>
      <c r="L57" s="38"/>
      <c r="M57" s="38"/>
      <c r="N57" s="38"/>
      <c r="O57" s="42"/>
      <c r="P57" s="43"/>
    </row>
    <row r="58" spans="1:16" ht="15" customHeight="1">
      <c r="A58" s="44">
        <v>46329</v>
      </c>
      <c r="B58" s="11" t="str">
        <f t="shared" si="1"/>
        <v>週二</v>
      </c>
      <c r="C58" s="12" t="s">
        <v>16</v>
      </c>
      <c r="D58" s="13">
        <v>30</v>
      </c>
      <c r="E58" s="14"/>
      <c r="F58" s="13">
        <v>3</v>
      </c>
      <c r="G58" s="13">
        <v>47</v>
      </c>
      <c r="H58" s="14"/>
      <c r="I58" s="14"/>
      <c r="J58" s="14"/>
      <c r="K58" s="14"/>
      <c r="L58" s="14"/>
      <c r="M58" s="14"/>
      <c r="N58" s="14"/>
      <c r="O58" s="16"/>
      <c r="P58" s="15"/>
    </row>
    <row r="59" spans="1:16" ht="15" customHeight="1">
      <c r="A59" s="37">
        <v>46330</v>
      </c>
      <c r="B59" s="38" t="str">
        <f t="shared" si="1"/>
        <v>週三</v>
      </c>
      <c r="C59" s="42" t="s">
        <v>21</v>
      </c>
      <c r="D59" s="38">
        <v>0</v>
      </c>
      <c r="E59" s="38"/>
      <c r="F59" s="38"/>
      <c r="G59" s="38">
        <v>0</v>
      </c>
      <c r="H59" s="38"/>
      <c r="I59" s="38"/>
      <c r="J59" s="38"/>
      <c r="K59" s="38"/>
      <c r="L59" s="38"/>
      <c r="M59" s="38"/>
      <c r="N59" s="38"/>
      <c r="O59" s="42"/>
      <c r="P59" s="43"/>
    </row>
    <row r="60" spans="1:16" ht="15" customHeight="1">
      <c r="A60" s="37">
        <v>46331</v>
      </c>
      <c r="B60" s="38" t="str">
        <f t="shared" si="1"/>
        <v>週四</v>
      </c>
      <c r="C60" s="42" t="s">
        <v>21</v>
      </c>
      <c r="D60" s="38">
        <v>0</v>
      </c>
      <c r="E60" s="38"/>
      <c r="F60" s="38"/>
      <c r="G60" s="38">
        <v>0</v>
      </c>
      <c r="H60" s="38"/>
      <c r="I60" s="38"/>
      <c r="J60" s="38"/>
      <c r="K60" s="38"/>
      <c r="L60" s="38"/>
      <c r="M60" s="38"/>
      <c r="N60" s="38"/>
      <c r="O60" s="42"/>
      <c r="P60" s="43"/>
    </row>
    <row r="61" spans="1:16">
      <c r="A61" s="45">
        <v>46332</v>
      </c>
      <c r="B61" s="17" t="str">
        <f t="shared" si="1"/>
        <v>週五</v>
      </c>
      <c r="C61" s="18" t="s">
        <v>16</v>
      </c>
      <c r="D61" s="19">
        <v>30</v>
      </c>
      <c r="E61" s="20"/>
      <c r="F61" s="19">
        <v>3</v>
      </c>
      <c r="G61" s="19">
        <v>47</v>
      </c>
      <c r="H61" s="20"/>
      <c r="I61" s="20"/>
      <c r="J61" s="20"/>
      <c r="K61" s="20"/>
      <c r="L61" s="20"/>
      <c r="M61" s="20"/>
      <c r="N61" s="20"/>
      <c r="O61" s="21"/>
      <c r="P61" s="21"/>
    </row>
    <row r="62" spans="1:16" ht="15" customHeight="1">
      <c r="A62" s="45">
        <v>46333</v>
      </c>
      <c r="B62" s="17" t="str">
        <f t="shared" si="1"/>
        <v>週六</v>
      </c>
      <c r="C62" s="18" t="s">
        <v>16</v>
      </c>
      <c r="D62" s="19">
        <v>30</v>
      </c>
      <c r="E62" s="20"/>
      <c r="F62" s="19">
        <v>3</v>
      </c>
      <c r="G62" s="19">
        <v>47</v>
      </c>
      <c r="H62" s="20"/>
      <c r="I62" s="20"/>
      <c r="J62" s="20"/>
      <c r="K62" s="20"/>
      <c r="L62" s="20"/>
      <c r="M62" s="20"/>
      <c r="N62" s="20"/>
      <c r="O62" s="21"/>
      <c r="P62" s="21"/>
    </row>
    <row r="63" spans="1:16">
      <c r="A63" s="45">
        <v>46334</v>
      </c>
      <c r="B63" s="17" t="str">
        <f t="shared" si="1"/>
        <v>週日</v>
      </c>
      <c r="C63" s="18" t="s">
        <v>16</v>
      </c>
      <c r="D63" s="19">
        <v>30</v>
      </c>
      <c r="E63" s="20"/>
      <c r="F63" s="19">
        <v>3</v>
      </c>
      <c r="G63" s="19">
        <v>47</v>
      </c>
      <c r="H63" s="20"/>
      <c r="I63" s="20"/>
      <c r="J63" s="20"/>
      <c r="K63" s="20"/>
      <c r="L63" s="20"/>
      <c r="M63" s="20"/>
      <c r="N63" s="20"/>
      <c r="O63" s="21"/>
      <c r="P63" s="21"/>
    </row>
    <row r="64" spans="1:16">
      <c r="A64" s="46">
        <v>46335</v>
      </c>
      <c r="B64" s="47" t="str">
        <f t="shared" si="1"/>
        <v>週一</v>
      </c>
      <c r="C64" s="48" t="s">
        <v>21</v>
      </c>
      <c r="D64" s="47">
        <v>0</v>
      </c>
      <c r="E64" s="47"/>
      <c r="F64" s="47"/>
      <c r="G64" s="47">
        <v>0</v>
      </c>
      <c r="H64" s="47"/>
      <c r="I64" s="47"/>
      <c r="J64" s="47"/>
      <c r="K64" s="47"/>
      <c r="L64" s="47"/>
      <c r="M64" s="47"/>
      <c r="N64" s="47"/>
      <c r="O64" s="48"/>
      <c r="P64" s="48"/>
    </row>
    <row r="65" spans="1:16">
      <c r="A65" s="45">
        <v>46336</v>
      </c>
      <c r="B65" s="17" t="str">
        <f t="shared" si="1"/>
        <v>週二</v>
      </c>
      <c r="C65" s="18" t="s">
        <v>16</v>
      </c>
      <c r="D65" s="19">
        <v>30</v>
      </c>
      <c r="E65" s="20"/>
      <c r="F65" s="19">
        <v>3</v>
      </c>
      <c r="G65" s="19">
        <v>47</v>
      </c>
      <c r="H65" s="20"/>
      <c r="I65" s="20"/>
      <c r="J65" s="20"/>
      <c r="K65" s="20"/>
      <c r="L65" s="20"/>
      <c r="M65" s="20"/>
      <c r="N65" s="20"/>
      <c r="O65" s="21"/>
      <c r="P65" s="21"/>
    </row>
    <row r="66" spans="1:16">
      <c r="A66" s="46">
        <v>46337</v>
      </c>
      <c r="B66" s="47" t="str">
        <f t="shared" ref="B66:B97" si="2">IF(A66="","",TEXT(A66,"aaa"))</f>
        <v>週三</v>
      </c>
      <c r="C66" s="48" t="s">
        <v>21</v>
      </c>
      <c r="D66" s="47">
        <v>0</v>
      </c>
      <c r="E66" s="47"/>
      <c r="F66" s="47"/>
      <c r="G66" s="47">
        <v>0</v>
      </c>
      <c r="H66" s="47"/>
      <c r="I66" s="47"/>
      <c r="J66" s="47"/>
      <c r="K66" s="47"/>
      <c r="L66" s="47"/>
      <c r="M66" s="47"/>
      <c r="N66" s="47"/>
      <c r="O66" s="48"/>
      <c r="P66" s="48"/>
    </row>
    <row r="67" spans="1:16">
      <c r="A67" s="46">
        <v>46338</v>
      </c>
      <c r="B67" s="47" t="str">
        <f t="shared" si="2"/>
        <v>週四</v>
      </c>
      <c r="C67" s="48" t="s">
        <v>21</v>
      </c>
      <c r="D67" s="47">
        <v>0</v>
      </c>
      <c r="E67" s="47"/>
      <c r="F67" s="47"/>
      <c r="G67" s="47">
        <v>0</v>
      </c>
      <c r="H67" s="47"/>
      <c r="I67" s="47"/>
      <c r="J67" s="47"/>
      <c r="K67" s="47"/>
      <c r="L67" s="47"/>
      <c r="M67" s="47"/>
      <c r="N67" s="47"/>
      <c r="O67" s="48"/>
      <c r="P67" s="48"/>
    </row>
    <row r="68" spans="1:16">
      <c r="A68" s="45">
        <v>46339</v>
      </c>
      <c r="B68" s="17" t="str">
        <f t="shared" si="2"/>
        <v>週五</v>
      </c>
      <c r="C68" s="18" t="s">
        <v>16</v>
      </c>
      <c r="D68" s="19">
        <v>30</v>
      </c>
      <c r="E68" s="20"/>
      <c r="F68" s="19">
        <v>3</v>
      </c>
      <c r="G68" s="19">
        <v>47</v>
      </c>
      <c r="H68" s="20"/>
      <c r="I68" s="20"/>
      <c r="J68" s="20"/>
      <c r="K68" s="20"/>
      <c r="L68" s="20"/>
      <c r="M68" s="20"/>
      <c r="N68" s="20"/>
      <c r="O68" s="21"/>
      <c r="P68" s="21"/>
    </row>
    <row r="69" spans="1:16">
      <c r="A69" s="45">
        <v>46340</v>
      </c>
      <c r="B69" s="17" t="str">
        <f t="shared" si="2"/>
        <v>週六</v>
      </c>
      <c r="C69" s="18" t="s">
        <v>16</v>
      </c>
      <c r="D69" s="19">
        <v>30</v>
      </c>
      <c r="E69" s="20"/>
      <c r="F69" s="19">
        <v>3</v>
      </c>
      <c r="G69" s="19">
        <v>47</v>
      </c>
      <c r="H69" s="20"/>
      <c r="I69" s="20"/>
      <c r="J69" s="20"/>
      <c r="K69" s="20"/>
      <c r="L69" s="20"/>
      <c r="M69" s="20"/>
      <c r="N69" s="20"/>
      <c r="O69" s="21"/>
      <c r="P69" s="21"/>
    </row>
    <row r="70" spans="1:16">
      <c r="A70" s="45">
        <v>46341</v>
      </c>
      <c r="B70" s="17" t="str">
        <f t="shared" si="2"/>
        <v>週日</v>
      </c>
      <c r="C70" s="18" t="s">
        <v>16</v>
      </c>
      <c r="D70" s="19">
        <v>30</v>
      </c>
      <c r="E70" s="20"/>
      <c r="F70" s="19">
        <v>3</v>
      </c>
      <c r="G70" s="19">
        <v>47</v>
      </c>
      <c r="H70" s="20"/>
      <c r="I70" s="20"/>
      <c r="J70" s="20"/>
      <c r="K70" s="20"/>
      <c r="L70" s="20"/>
      <c r="M70" s="20"/>
      <c r="N70" s="20"/>
      <c r="O70" s="21"/>
      <c r="P70" s="21"/>
    </row>
    <row r="71" spans="1:16">
      <c r="A71" s="46">
        <v>46342</v>
      </c>
      <c r="B71" s="47" t="str">
        <f t="shared" si="2"/>
        <v>週一</v>
      </c>
      <c r="C71" s="48" t="s">
        <v>21</v>
      </c>
      <c r="D71" s="47">
        <v>0</v>
      </c>
      <c r="E71" s="47"/>
      <c r="F71" s="47"/>
      <c r="G71" s="47">
        <v>0</v>
      </c>
      <c r="H71" s="47"/>
      <c r="I71" s="47"/>
      <c r="J71" s="47"/>
      <c r="K71" s="47"/>
      <c r="L71" s="47"/>
      <c r="M71" s="47"/>
      <c r="N71" s="47"/>
      <c r="O71" s="48"/>
      <c r="P71" s="48"/>
    </row>
    <row r="72" spans="1:16">
      <c r="A72" s="45">
        <v>46343</v>
      </c>
      <c r="B72" s="17" t="str">
        <f t="shared" si="2"/>
        <v>週二</v>
      </c>
      <c r="C72" s="18" t="s">
        <v>16</v>
      </c>
      <c r="D72" s="19">
        <v>30</v>
      </c>
      <c r="E72" s="20"/>
      <c r="F72" s="19">
        <v>3</v>
      </c>
      <c r="G72" s="19">
        <v>47</v>
      </c>
      <c r="H72" s="20"/>
      <c r="I72" s="20"/>
      <c r="J72" s="20"/>
      <c r="K72" s="20"/>
      <c r="L72" s="20"/>
      <c r="M72" s="20"/>
      <c r="N72" s="20"/>
      <c r="O72" s="21"/>
      <c r="P72" s="21"/>
    </row>
    <row r="73" spans="1:16">
      <c r="A73" s="46">
        <v>46344</v>
      </c>
      <c r="B73" s="47" t="str">
        <f t="shared" si="2"/>
        <v>週三</v>
      </c>
      <c r="C73" s="48" t="s">
        <v>21</v>
      </c>
      <c r="D73" s="47">
        <v>0</v>
      </c>
      <c r="E73" s="47"/>
      <c r="F73" s="47"/>
      <c r="G73" s="47">
        <v>0</v>
      </c>
      <c r="H73" s="47"/>
      <c r="I73" s="47"/>
      <c r="J73" s="47"/>
      <c r="K73" s="47"/>
      <c r="L73" s="47"/>
      <c r="M73" s="47"/>
      <c r="N73" s="47"/>
      <c r="O73" s="48"/>
      <c r="P73" s="48"/>
    </row>
    <row r="74" spans="1:16">
      <c r="A74" s="46">
        <v>46345</v>
      </c>
      <c r="B74" s="47" t="str">
        <f t="shared" si="2"/>
        <v>週四</v>
      </c>
      <c r="C74" s="48" t="s">
        <v>21</v>
      </c>
      <c r="D74" s="47">
        <v>0</v>
      </c>
      <c r="E74" s="47"/>
      <c r="F74" s="47"/>
      <c r="G74" s="47">
        <v>0</v>
      </c>
      <c r="H74" s="47"/>
      <c r="I74" s="47"/>
      <c r="J74" s="47"/>
      <c r="K74" s="47"/>
      <c r="L74" s="47"/>
      <c r="M74" s="47"/>
      <c r="N74" s="47"/>
      <c r="O74" s="48"/>
      <c r="P74" s="48"/>
    </row>
    <row r="75" spans="1:16">
      <c r="A75" s="45">
        <v>46346</v>
      </c>
      <c r="B75" s="17" t="str">
        <f t="shared" si="2"/>
        <v>週五</v>
      </c>
      <c r="C75" s="18" t="s">
        <v>16</v>
      </c>
      <c r="D75" s="19">
        <v>30</v>
      </c>
      <c r="E75" s="20"/>
      <c r="F75" s="19">
        <v>3</v>
      </c>
      <c r="G75" s="19">
        <v>47</v>
      </c>
      <c r="H75" s="20"/>
      <c r="I75" s="20"/>
      <c r="J75" s="20"/>
      <c r="K75" s="20"/>
      <c r="L75" s="20"/>
      <c r="M75" s="20"/>
      <c r="N75" s="20"/>
      <c r="O75" s="21"/>
      <c r="P75" s="21"/>
    </row>
    <row r="76" spans="1:16">
      <c r="A76" s="45">
        <v>46347</v>
      </c>
      <c r="B76" s="17" t="str">
        <f t="shared" si="2"/>
        <v>週六</v>
      </c>
      <c r="C76" s="18" t="s">
        <v>16</v>
      </c>
      <c r="D76" s="19">
        <v>30</v>
      </c>
      <c r="E76" s="20"/>
      <c r="F76" s="19">
        <v>3</v>
      </c>
      <c r="G76" s="19">
        <v>47</v>
      </c>
      <c r="H76" s="20"/>
      <c r="I76" s="20"/>
      <c r="J76" s="20"/>
      <c r="K76" s="20"/>
      <c r="L76" s="20"/>
      <c r="M76" s="20"/>
      <c r="N76" s="20"/>
      <c r="O76" s="21"/>
      <c r="P76" s="21"/>
    </row>
    <row r="77" spans="1:16">
      <c r="A77" s="45">
        <v>46348</v>
      </c>
      <c r="B77" s="17" t="str">
        <f t="shared" si="2"/>
        <v>週日</v>
      </c>
      <c r="C77" s="18" t="s">
        <v>16</v>
      </c>
      <c r="D77" s="19">
        <v>30</v>
      </c>
      <c r="E77" s="20"/>
      <c r="F77" s="19">
        <v>3</v>
      </c>
      <c r="G77" s="19">
        <v>47</v>
      </c>
      <c r="H77" s="20"/>
      <c r="I77" s="20"/>
      <c r="J77" s="20"/>
      <c r="K77" s="20"/>
      <c r="L77" s="20"/>
      <c r="M77" s="20"/>
      <c r="N77" s="20"/>
      <c r="O77" s="21"/>
      <c r="P77" s="21"/>
    </row>
    <row r="78" spans="1:16">
      <c r="A78" s="46">
        <v>46349</v>
      </c>
      <c r="B78" s="47" t="str">
        <f t="shared" si="2"/>
        <v>週一</v>
      </c>
      <c r="C78" s="48" t="s">
        <v>21</v>
      </c>
      <c r="D78" s="47">
        <v>0</v>
      </c>
      <c r="E78" s="47"/>
      <c r="F78" s="47"/>
      <c r="G78" s="47">
        <v>0</v>
      </c>
      <c r="H78" s="47"/>
      <c r="I78" s="47"/>
      <c r="J78" s="47"/>
      <c r="K78" s="47"/>
      <c r="L78" s="47"/>
      <c r="M78" s="47"/>
      <c r="N78" s="47"/>
      <c r="O78" s="48"/>
      <c r="P78" s="48"/>
    </row>
    <row r="79" spans="1:16">
      <c r="A79" s="45">
        <v>46350</v>
      </c>
      <c r="B79" s="17" t="str">
        <f t="shared" si="2"/>
        <v>週二</v>
      </c>
      <c r="C79" s="18" t="s">
        <v>16</v>
      </c>
      <c r="D79" s="19">
        <v>30</v>
      </c>
      <c r="E79" s="20"/>
      <c r="F79" s="19">
        <v>3</v>
      </c>
      <c r="G79" s="19">
        <v>47</v>
      </c>
      <c r="H79" s="20"/>
      <c r="I79" s="20"/>
      <c r="J79" s="20"/>
      <c r="K79" s="20"/>
      <c r="L79" s="20"/>
      <c r="M79" s="20"/>
      <c r="N79" s="20"/>
      <c r="O79" s="21"/>
      <c r="P79" s="21"/>
    </row>
    <row r="80" spans="1:16">
      <c r="A80" s="46">
        <v>46351</v>
      </c>
      <c r="B80" s="47" t="str">
        <f t="shared" si="2"/>
        <v>週三</v>
      </c>
      <c r="C80" s="48" t="s">
        <v>21</v>
      </c>
      <c r="D80" s="47">
        <v>0</v>
      </c>
      <c r="E80" s="47"/>
      <c r="F80" s="47"/>
      <c r="G80" s="47">
        <v>0</v>
      </c>
      <c r="H80" s="47"/>
      <c r="I80" s="47"/>
      <c r="J80" s="47"/>
      <c r="K80" s="47"/>
      <c r="L80" s="47"/>
      <c r="M80" s="47"/>
      <c r="N80" s="47"/>
      <c r="O80" s="48"/>
      <c r="P80" s="48"/>
    </row>
    <row r="81" spans="1:16">
      <c r="A81" s="46">
        <v>46352</v>
      </c>
      <c r="B81" s="47" t="str">
        <f t="shared" si="2"/>
        <v>週四</v>
      </c>
      <c r="C81" s="48" t="s">
        <v>21</v>
      </c>
      <c r="D81" s="47">
        <v>0</v>
      </c>
      <c r="E81" s="47"/>
      <c r="F81" s="47"/>
      <c r="G81" s="47">
        <v>0</v>
      </c>
      <c r="H81" s="47"/>
      <c r="I81" s="47"/>
      <c r="J81" s="47"/>
      <c r="K81" s="47"/>
      <c r="L81" s="47"/>
      <c r="M81" s="47"/>
      <c r="N81" s="47"/>
      <c r="O81" s="48"/>
      <c r="P81" s="48"/>
    </row>
    <row r="82" spans="1:16">
      <c r="A82" s="45">
        <v>46353</v>
      </c>
      <c r="B82" s="17" t="str">
        <f t="shared" si="2"/>
        <v>週五</v>
      </c>
      <c r="C82" s="18" t="s">
        <v>16</v>
      </c>
      <c r="D82" s="19">
        <v>30</v>
      </c>
      <c r="E82" s="20"/>
      <c r="F82" s="19">
        <v>3</v>
      </c>
      <c r="G82" s="19">
        <v>47</v>
      </c>
      <c r="H82" s="20"/>
      <c r="I82" s="20"/>
      <c r="J82" s="20"/>
      <c r="K82" s="20"/>
      <c r="L82" s="20"/>
      <c r="M82" s="20"/>
      <c r="N82" s="20"/>
      <c r="O82" s="21"/>
      <c r="P82" s="21"/>
    </row>
    <row r="83" spans="1:16">
      <c r="A83" s="45">
        <v>46354</v>
      </c>
      <c r="B83" s="17" t="str">
        <f t="shared" si="2"/>
        <v>週六</v>
      </c>
      <c r="C83" s="18" t="s">
        <v>16</v>
      </c>
      <c r="D83" s="19">
        <v>30</v>
      </c>
      <c r="E83" s="20"/>
      <c r="F83" s="19">
        <v>3</v>
      </c>
      <c r="G83" s="19">
        <v>47</v>
      </c>
      <c r="H83" s="20"/>
      <c r="I83" s="20"/>
      <c r="J83" s="20"/>
      <c r="K83" s="20"/>
      <c r="L83" s="20"/>
      <c r="M83" s="20"/>
      <c r="N83" s="20"/>
      <c r="O83" s="21"/>
      <c r="P83" s="21"/>
    </row>
    <row r="84" spans="1:16">
      <c r="A84" s="45">
        <v>46355</v>
      </c>
      <c r="B84" s="17" t="str">
        <f t="shared" si="2"/>
        <v>週日</v>
      </c>
      <c r="C84" s="18" t="s">
        <v>16</v>
      </c>
      <c r="D84" s="19">
        <v>30</v>
      </c>
      <c r="E84" s="20"/>
      <c r="F84" s="19">
        <v>3</v>
      </c>
      <c r="G84" s="19">
        <v>47</v>
      </c>
      <c r="H84" s="20"/>
      <c r="I84" s="20"/>
      <c r="J84" s="20"/>
      <c r="K84" s="20"/>
      <c r="L84" s="20"/>
      <c r="M84" s="20"/>
      <c r="N84" s="20"/>
      <c r="O84" s="21"/>
      <c r="P84" s="21"/>
    </row>
    <row r="85" spans="1:16">
      <c r="A85" s="46">
        <v>46356</v>
      </c>
      <c r="B85" s="47" t="str">
        <f t="shared" si="2"/>
        <v>週一</v>
      </c>
      <c r="C85" s="48" t="s">
        <v>21</v>
      </c>
      <c r="D85" s="47">
        <v>0</v>
      </c>
      <c r="E85" s="47"/>
      <c r="F85" s="47"/>
      <c r="G85" s="47">
        <v>0</v>
      </c>
      <c r="H85" s="47"/>
      <c r="I85" s="47"/>
      <c r="J85" s="47"/>
      <c r="K85" s="47"/>
      <c r="L85" s="47"/>
      <c r="M85" s="47"/>
      <c r="N85" s="47"/>
      <c r="O85" s="48"/>
      <c r="P85" s="48"/>
    </row>
    <row r="86" spans="1:16">
      <c r="A86" s="20"/>
      <c r="B86" s="17" t="str">
        <f t="shared" si="2"/>
        <v/>
      </c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1"/>
      <c r="P86" s="21"/>
    </row>
    <row r="87" spans="1:16">
      <c r="A87" s="20"/>
      <c r="B87" s="17" t="str">
        <f t="shared" si="2"/>
        <v/>
      </c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1"/>
      <c r="P87" s="21"/>
    </row>
    <row r="88" spans="1:16">
      <c r="A88" s="20"/>
      <c r="B88" s="17" t="str">
        <f t="shared" si="2"/>
        <v/>
      </c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1"/>
      <c r="P88" s="21"/>
    </row>
    <row r="89" spans="1:16">
      <c r="A89" s="20"/>
      <c r="B89" s="17" t="str">
        <f t="shared" si="2"/>
        <v/>
      </c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1"/>
      <c r="P89" s="21"/>
    </row>
    <row r="90" spans="1:16">
      <c r="A90" s="20"/>
      <c r="B90" s="17" t="str">
        <f t="shared" si="2"/>
        <v/>
      </c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1"/>
      <c r="P90" s="21"/>
    </row>
    <row r="91" spans="1:16">
      <c r="A91" s="20"/>
      <c r="B91" s="17" t="str">
        <f t="shared" si="2"/>
        <v/>
      </c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1"/>
      <c r="P91" s="21"/>
    </row>
    <row r="92" spans="1:16">
      <c r="A92" s="20"/>
      <c r="B92" s="17" t="str">
        <f t="shared" si="2"/>
        <v/>
      </c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1"/>
      <c r="P92" s="21"/>
    </row>
    <row r="93" spans="1:16">
      <c r="A93" s="20"/>
      <c r="B93" s="17" t="str">
        <f t="shared" si="2"/>
        <v/>
      </c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1"/>
      <c r="P93" s="21"/>
    </row>
    <row r="94" spans="1:16">
      <c r="A94" s="20"/>
      <c r="B94" s="17" t="str">
        <f t="shared" si="2"/>
        <v/>
      </c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1"/>
      <c r="P94" s="21"/>
    </row>
    <row r="95" spans="1:16">
      <c r="A95" s="20"/>
      <c r="B95" s="17" t="str">
        <f t="shared" si="2"/>
        <v/>
      </c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1"/>
      <c r="P95" s="21"/>
    </row>
    <row r="97" spans="1:16" ht="60" customHeight="1">
      <c r="A97" s="49" t="s">
        <v>35</v>
      </c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</row>
    <row r="101" spans="1:16" ht="130.5" customHeight="1">
      <c r="A101" s="52" t="s">
        <v>77</v>
      </c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</row>
  </sheetData>
  <mergeCells count="2">
    <mergeCell ref="A97:P97"/>
    <mergeCell ref="A101:O101"/>
  </mergeCells>
  <phoneticPr fontId="16" type="noConversion"/>
  <dataValidations count="6">
    <dataValidation type="list" allowBlank="1" sqref="C2:C60" xr:uid="{00000000-0002-0000-0000-000000000000}">
      <formula1>"飛輪,重量訓練,有氧,瑜伽/伸展,混合訓練,休息日,其他"</formula1>
      <formula2>0</formula2>
    </dataValidation>
    <dataValidation type="whole" allowBlank="1" sqref="E2:F60" xr:uid="{00000000-0002-0000-0000-000001000000}">
      <formula1>1</formula1>
      <formula2>8</formula2>
    </dataValidation>
    <dataValidation type="whole" allowBlank="1" sqref="H2:H60" xr:uid="{00000000-0002-0000-0000-000002000000}">
      <formula1>0</formula1>
      <formula2>10</formula2>
    </dataValidation>
    <dataValidation type="whole" allowBlank="1" sqref="J2:M60" xr:uid="{00000000-0002-0000-0000-000003000000}">
      <formula1>1</formula1>
      <formula2>5</formula2>
    </dataValidation>
    <dataValidation type="list" allowBlank="1" sqref="N2:N60" xr:uid="{00000000-0002-0000-0000-000004000000}">
      <formula1>"Y,N"</formula1>
      <formula2>0</formula2>
    </dataValidation>
    <dataValidation type="list" allowBlank="1" sqref="O2:O60" xr:uid="{00000000-0002-0000-0000-000005000000}">
      <formula1>"時間不夠,太累,工作忙,沒動力,身體不適,其他,不適用"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zoomScaleNormal="100" workbookViewId="0">
      <selection sqref="A1:C1"/>
    </sheetView>
  </sheetViews>
  <sheetFormatPr defaultColWidth="8.7109375" defaultRowHeight="15"/>
  <cols>
    <col min="1" max="1" width="30" style="1" customWidth="1"/>
    <col min="2" max="2" width="16" style="1" customWidth="1"/>
    <col min="3" max="3" width="46" style="1" customWidth="1"/>
  </cols>
  <sheetData>
    <row r="1" spans="1:3" ht="15.75" customHeight="1">
      <c r="A1" s="51" t="s">
        <v>36</v>
      </c>
      <c r="B1" s="50"/>
      <c r="C1" s="50"/>
    </row>
    <row r="2" spans="1:3" ht="16.5" customHeight="1">
      <c r="A2" s="22" t="s">
        <v>37</v>
      </c>
      <c r="B2" s="23">
        <f ca="1">COUNTIF(每日訓練紀錄!A2:A95,"&lt;="&amp;TODAY())</f>
        <v>23</v>
      </c>
    </row>
    <row r="3" spans="1:3" ht="16.5" customHeight="1">
      <c r="A3" s="22" t="s">
        <v>38</v>
      </c>
      <c r="B3" s="23">
        <f>COUNTIF(每日訓練紀錄!N2:N95,"Y")</f>
        <v>12</v>
      </c>
    </row>
    <row r="4" spans="1:3" ht="16.5" customHeight="1">
      <c r="A4" s="22" t="s">
        <v>39</v>
      </c>
      <c r="B4" s="24">
        <f ca="1">IFERROR(COUNTIF(每日訓練紀錄!N2:N95,"Y")/COUNTIF(每日訓練紀錄!A2:A95,"&lt;="&amp;TODAY()),"")</f>
        <v>0.52173913043478259</v>
      </c>
    </row>
    <row r="5" spans="1:3" ht="16.5" customHeight="1">
      <c r="A5" s="22" t="s">
        <v>40</v>
      </c>
      <c r="B5" s="23">
        <f>IFERROR(ROUND(AVERAGEIF(每日訓練紀錄!N2:N95,"Y",每日訓練紀錄!H2:H95),1),"")</f>
        <v>5.4</v>
      </c>
    </row>
    <row r="6" spans="1:3" ht="16.5" customHeight="1">
      <c r="A6" s="22" t="s">
        <v>41</v>
      </c>
      <c r="B6" s="23">
        <f>IFERROR(ROUND(AVERAGE(每日訓練紀錄!I2:I95),1),"")</f>
        <v>6.8</v>
      </c>
    </row>
    <row r="7" spans="1:3" ht="16.5" customHeight="1">
      <c r="A7" s="22" t="s">
        <v>42</v>
      </c>
      <c r="B7" s="23">
        <f>IFERROR(ROUND(AVERAGE(每日訓練紀錄!K2:K95),1),"")</f>
        <v>2.9</v>
      </c>
    </row>
    <row r="8" spans="1:3" ht="16.5" customHeight="1">
      <c r="A8" s="22" t="s">
        <v>43</v>
      </c>
      <c r="B8" s="23">
        <f>IFERROR(ROUND(AVERAGE(每日訓練紀錄!L2:L95),1),"")</f>
        <v>3.1</v>
      </c>
    </row>
    <row r="9" spans="1:3" ht="16.5" customHeight="1">
      <c r="A9" s="22" t="s">
        <v>44</v>
      </c>
      <c r="B9" s="23">
        <f>IFERROR(ROUND(AVERAGE(每日訓練紀錄!M2:M95),1),"")</f>
        <v>3.4</v>
      </c>
    </row>
    <row r="10" spans="1:3" ht="16.5" customHeight="1">
      <c r="A10" s="22" t="s">
        <v>45</v>
      </c>
      <c r="B10" s="23">
        <f>SUM(每日訓練紀錄!G2:G95)</f>
        <v>2397</v>
      </c>
    </row>
    <row r="11" spans="1:3" ht="16.5" customHeight="1">
      <c r="A11" s="22" t="s">
        <v>46</v>
      </c>
      <c r="B11" s="23">
        <f>IFERROR(ROUND(AVERAGEIF(每日訓練紀錄!N2:N95,"Y",每日訓練紀錄!G2:G95),1),"")</f>
        <v>47</v>
      </c>
    </row>
    <row r="13" spans="1:3" ht="19.5" customHeight="1">
      <c r="A13" s="51" t="s">
        <v>47</v>
      </c>
      <c r="B13" s="50"/>
      <c r="C13" s="50"/>
    </row>
    <row r="14" spans="1:3" ht="16.5" customHeight="1">
      <c r="A14" s="2" t="s">
        <v>48</v>
      </c>
      <c r="B14" s="2" t="s">
        <v>49</v>
      </c>
      <c r="C14" s="2" t="s">
        <v>50</v>
      </c>
    </row>
    <row r="15" spans="1:3" ht="32.25" customHeight="1">
      <c r="A15" s="25" t="s">
        <v>51</v>
      </c>
      <c r="B15" s="23">
        <f>IFERROR(ROUND(CORREL(每日訓練紀錄!H2:H95,每日訓練紀錄!I2:I95),2),"資料不足")</f>
        <v>0.15</v>
      </c>
      <c r="C15" s="25" t="s">
        <v>52</v>
      </c>
    </row>
    <row r="16" spans="1:3" ht="32.25" customHeight="1">
      <c r="A16" s="25" t="s">
        <v>53</v>
      </c>
      <c r="B16" s="23">
        <f>IFERROR(ROUND(CORREL(每日訓練紀錄!H2:H95,每日訓練紀錄!K2:K95),2),"資料不足")</f>
        <v>-0.05</v>
      </c>
      <c r="C16" s="25" t="s">
        <v>52</v>
      </c>
    </row>
    <row r="17" spans="1:3" ht="32.25" customHeight="1">
      <c r="A17" s="26" t="s">
        <v>54</v>
      </c>
      <c r="B17" s="23">
        <f>IFERROR(ROUND(CORREL(每日訓練紀錄!M2:M95,每日訓練紀錄!I2:I95),2),"資料不足")</f>
        <v>0.88</v>
      </c>
      <c r="C17" s="25" t="s">
        <v>52</v>
      </c>
    </row>
    <row r="18" spans="1:3" ht="32.25" customHeight="1">
      <c r="A18" s="26" t="s">
        <v>55</v>
      </c>
      <c r="B18" s="23">
        <f>IFERROR(ROUND(CORREL(每日訓練紀錄!M2:M95,每日訓練紀錄!K2:K95),2),"資料不足")</f>
        <v>-0.85</v>
      </c>
      <c r="C18" s="25" t="s">
        <v>52</v>
      </c>
    </row>
    <row r="20" spans="1:3" ht="19.5" customHeight="1">
      <c r="A20" s="51" t="s">
        <v>56</v>
      </c>
      <c r="B20" s="50"/>
      <c r="C20" s="50"/>
    </row>
    <row r="21" spans="1:3" ht="16.5" customHeight="1">
      <c r="A21" s="2" t="s">
        <v>57</v>
      </c>
      <c r="B21" s="2" t="s">
        <v>58</v>
      </c>
      <c r="C21" s="2"/>
    </row>
    <row r="22" spans="1:3" ht="16.5" customHeight="1">
      <c r="A22" s="26" t="s">
        <v>59</v>
      </c>
      <c r="B22" s="23">
        <f>COUNTIF(每日訓練紀錄!O2:O95,"時間不夠")</f>
        <v>0</v>
      </c>
    </row>
    <row r="23" spans="1:3" ht="16.5" customHeight="1">
      <c r="A23" s="26" t="s">
        <v>29</v>
      </c>
      <c r="B23" s="23">
        <f>COUNTIF(每日訓練紀錄!O2:O95,"太累")</f>
        <v>1</v>
      </c>
    </row>
    <row r="24" spans="1:3" ht="16.5" customHeight="1">
      <c r="A24" s="26" t="s">
        <v>23</v>
      </c>
      <c r="B24" s="23">
        <f>COUNTIF(每日訓練紀錄!O2:O95,"工作忙")</f>
        <v>1</v>
      </c>
    </row>
    <row r="25" spans="1:3" ht="16.5" customHeight="1">
      <c r="A25" s="26" t="s">
        <v>26</v>
      </c>
      <c r="B25" s="23">
        <f>COUNTIF(每日訓練紀錄!O2:O95,"沒動力")</f>
        <v>2</v>
      </c>
    </row>
    <row r="26" spans="1:3" ht="16.5" customHeight="1">
      <c r="A26" s="26" t="s">
        <v>60</v>
      </c>
      <c r="B26" s="23">
        <f>COUNTIF(每日訓練紀錄!O2:O95,"身體不適")</f>
        <v>0</v>
      </c>
    </row>
    <row r="27" spans="1:3" ht="16.5" customHeight="1">
      <c r="A27" s="26" t="s">
        <v>61</v>
      </c>
      <c r="B27" s="23">
        <f>COUNTIF(每日訓練紀錄!O2:O95,"其他")</f>
        <v>0</v>
      </c>
    </row>
    <row r="29" spans="1:3">
      <c r="A29" s="27" t="s">
        <v>62</v>
      </c>
    </row>
  </sheetData>
  <mergeCells count="3">
    <mergeCell ref="A1:C1"/>
    <mergeCell ref="A20:C20"/>
    <mergeCell ref="A13:C13"/>
  </mergeCells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zoomScaleNormal="100" workbookViewId="0"/>
  </sheetViews>
  <sheetFormatPr defaultColWidth="8.7109375" defaultRowHeight="15"/>
  <cols>
    <col min="1" max="1" width="100" style="1" customWidth="1"/>
  </cols>
  <sheetData>
    <row r="1" spans="1:1" ht="22.5" customHeight="1">
      <c r="A1" s="28" t="s">
        <v>63</v>
      </c>
    </row>
    <row r="2" spans="1:1" ht="15" customHeight="1">
      <c r="A2" s="29"/>
    </row>
    <row r="3" spans="1:1" ht="16.5" customHeight="1">
      <c r="A3" s="30" t="s">
        <v>64</v>
      </c>
    </row>
    <row r="4" spans="1:1" ht="15" customHeight="1">
      <c r="A4" s="29"/>
    </row>
    <row r="5" spans="1:1" ht="18.75" customHeight="1">
      <c r="A5" s="31" t="s">
        <v>65</v>
      </c>
    </row>
    <row r="6" spans="1:1" ht="32.25" customHeight="1">
      <c r="A6" s="30" t="s">
        <v>66</v>
      </c>
    </row>
    <row r="7" spans="1:1" ht="48" customHeight="1">
      <c r="A7" s="30" t="s">
        <v>67</v>
      </c>
    </row>
    <row r="8" spans="1:1" ht="15" customHeight="1">
      <c r="A8" s="29"/>
    </row>
    <row r="9" spans="1:1" ht="18.75" customHeight="1">
      <c r="A9" s="31" t="s">
        <v>68</v>
      </c>
    </row>
    <row r="10" spans="1:1" ht="16.5" customHeight="1">
      <c r="A10" s="29" t="s">
        <v>69</v>
      </c>
    </row>
    <row r="11" spans="1:1" ht="32.25" customHeight="1">
      <c r="A11" s="29" t="s">
        <v>70</v>
      </c>
    </row>
    <row r="12" spans="1:1" ht="15" customHeight="1">
      <c r="A12" s="29"/>
    </row>
    <row r="13" spans="1:1" ht="18.75" customHeight="1">
      <c r="A13" s="31" t="s">
        <v>71</v>
      </c>
    </row>
    <row r="14" spans="1:1" ht="48" customHeight="1">
      <c r="A14" s="29" t="s">
        <v>72</v>
      </c>
    </row>
    <row r="15" spans="1:1" ht="16.5" customHeight="1">
      <c r="A15" s="29" t="s">
        <v>73</v>
      </c>
    </row>
    <row r="16" spans="1:1" ht="32.25" customHeight="1">
      <c r="A16" s="29" t="s">
        <v>74</v>
      </c>
    </row>
    <row r="17" spans="1:1" ht="32.25" customHeight="1">
      <c r="A17" s="29" t="s">
        <v>75</v>
      </c>
    </row>
    <row r="18" spans="1:1" ht="15" customHeight="1">
      <c r="A18" s="29"/>
    </row>
    <row r="19" spans="1:1" ht="29.25" customHeight="1">
      <c r="A19" s="32" t="s">
        <v>76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ded6205-6656-4f4d-b9c0-42e8e45d18d2}" enabled="1" method="Privileged" siteId="{a7687ede-7a6b-4ef6-bace-642f677fbe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每日訓練紀錄</vt:lpstr>
      <vt:lpstr>分析輔助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Donna Chen (陳宛亭)</cp:lastModifiedBy>
  <cp:revision>2</cp:revision>
  <dcterms:created xsi:type="dcterms:W3CDTF">2026-09-23T06:59:47Z</dcterms:created>
  <dcterms:modified xsi:type="dcterms:W3CDTF">2026-09-30T05:03:37Z</dcterms:modified>
  <dc:language>en-US</dc:language>
</cp:coreProperties>
</file>